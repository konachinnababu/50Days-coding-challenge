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Analyst\Entri\50 days\day3\"/>
    </mc:Choice>
  </mc:AlternateContent>
  <xr:revisionPtr revIDLastSave="0" documentId="13_ncr:9_{57EA3FC6-BBE4-4690-B61C-2AB0ECAB6C9B}" xr6:coauthVersionLast="47" xr6:coauthVersionMax="47" xr10:uidLastSave="{00000000-0000-0000-0000-000000000000}"/>
  <bookViews>
    <workbookView xWindow="-113" yWindow="-113" windowWidth="24267" windowHeight="13023" activeTab="1" xr2:uid="{5E0C3A0B-184F-445E-B135-0C750CDF67B8}"/>
  </bookViews>
  <sheets>
    <sheet name="Pivot" sheetId="2" r:id="rId1"/>
    <sheet name="Dashboard" sheetId="3" r:id="rId2"/>
    <sheet name="Child_Health_Data" sheetId="1" r:id="rId3"/>
  </sheets>
  <definedNames>
    <definedName name="Slicer_Gender">#N/A</definedName>
    <definedName name="Slicer_Health_Status">#N/A</definedName>
    <definedName name="Slicer_Region">#N/A</definedName>
  </definedNames>
  <calcPr calcId="0"/>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C6" i="2"/>
  <c r="A6" i="2"/>
</calcChain>
</file>

<file path=xl/sharedStrings.xml><?xml version="1.0" encoding="utf-8"?>
<sst xmlns="http://schemas.openxmlformats.org/spreadsheetml/2006/main" count="354" uniqueCount="134">
  <si>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</si>
  <si>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</si>
  <si>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</si>
  <si>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</si>
  <si>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</si>
  <si>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</si>
  <si>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</si>
  <si>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</si>
  <si>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</si>
  <si>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</si>
  <si>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</si>
  <si>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</si>
  <si>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</si>
  <si>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</si>
  <si>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</si>
  <si>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</si>
  <si>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</si>
  <si>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</si>
  <si>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</si>
  <si>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</si>
  <si>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</si>
  <si>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</si>
  <si>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</si>
  <si>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</si>
  <si>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</si>
  <si>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</si>
  <si>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</si>
  <si>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</si>
  <si>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</si>
  <si>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</si>
  <si>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</si>
  <si>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</si>
  <si>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</si>
  <si>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</si>
  <si>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</si>
  <si>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</si>
  <si>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</si>
  <si>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</si>
  <si>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</si>
  <si>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</si>
  <si>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</si>
  <si>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</si>
  <si>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</si>
  <si>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</si>
  <si>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</si>
  <si>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</si>
  <si>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</si>
  <si>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</si>
  <si>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</si>
  <si>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</si>
  <si>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</si>
  <si>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</si>
  <si>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</si>
  <si>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</si>
  <si>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</si>
  <si>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</si>
  <si>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</si>
  <si>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</si>
  <si>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</si>
  <si>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</si>
  <si>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</si>
  <si>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</si>
  <si>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</si>
  <si>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</si>
  <si>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</si>
  <si>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</si>
  <si>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</si>
  <si>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</si>
  <si>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</si>
  <si>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</si>
  <si>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</si>
  <si>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</si>
  <si>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</si>
  <si>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</si>
  <si>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</si>
  <si>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</si>
  <si>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</si>
  <si>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</si>
  <si>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</si>
  <si>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</si>
  <si>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</si>
  <si>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</si>
  <si>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</si>
  <si>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</si>
  <si>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</si>
  <si>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</si>
  <si>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</si>
  <si>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</si>
  <si>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</si>
  <si>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</si>
  <si>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</si>
  <si>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</si>
  <si>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</si>
  <si>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</si>
  <si>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</si>
  <si>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</si>
  <si>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</si>
  <si>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</si>
  <si>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</si>
  <si>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</si>
  <si>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</si>
  <si>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</si>
  <si>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</si>
  <si>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</si>
  <si>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</si>
  <si>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</si>
  <si>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</si>
  <si>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</si>
  <si>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</si>
  <si>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</si>
  <si>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</si>
  <si>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</si>
  <si>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</si>
  <si>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</si>
  <si>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</si>
  <si>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</si>
  <si>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</si>
  <si>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</si>
  <si>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 Status</t>
  </si>
  <si>
    <t>Row Labels</t>
  </si>
  <si>
    <t>Grand Total</t>
  </si>
  <si>
    <t>Healthy Weight</t>
  </si>
  <si>
    <t>Under Weight</t>
  </si>
  <si>
    <t>Column Labels</t>
  </si>
  <si>
    <t>Count of ChildID</t>
  </si>
  <si>
    <t>25-36</t>
  </si>
  <si>
    <t>37-48</t>
  </si>
  <si>
    <t>49-60</t>
  </si>
  <si>
    <t>Health Status by Age Group</t>
  </si>
  <si>
    <t>Average of Daily_Fruit_Servings</t>
  </si>
  <si>
    <t>Average of BMI</t>
  </si>
  <si>
    <t>Average of Daily_Sugar_Drinks</t>
  </si>
  <si>
    <t>Average of ScreenTime_Hours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</si>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</sst>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33" borderId="0" xfId="0" applyFill="1" applyAlignment="1">
      <alignment horizontal="center"/>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i/>
        <u val="none"/>
        <sz val="14"/>
        <name val="Times New Roman"/>
        <family val="1"/>
        <scheme val="none"/>
      </font>
      <fill>
        <patternFill>
          <bgColor theme="2" tint="-9.9948118533890809E-2"/>
        </patternFill>
      </fill>
      <border>
        <left style="medium">
          <color theme="4"/>
        </left>
        <right style="medium">
          <color theme="4"/>
        </right>
        <top style="medium">
          <color theme="4"/>
        </top>
        <bottom style="medium">
          <color theme="4"/>
        </bottom>
      </border>
    </dxf>
    <dxf>
      <alignment wrapText="1"/>
    </dxf>
    <dxf>
      <numFmt numFmtId="2" formatCode="0.00"/>
    </dxf>
    <dxf>
      <numFmt numFmtId="2" formatCode="0.00"/>
    </dxf>
    <dxf>
      <numFmt numFmtId="2" formatCode="0.00"/>
    </dxf>
    <dxf>
      <alignment wrapText="1"/>
    </dxf>
    <dxf>
      <numFmt numFmtId="2" formatCode="0.00"/>
    </dxf>
    <dxf>
      <numFmt numFmtId="2" formatCode="0.00"/>
    </dxf>
    <dxf>
      <fill>
        <patternFill>
          <bgColor theme="4" tint="0.39994506668294322"/>
        </patternFill>
      </fill>
    </dxf>
    <dxf>
      <font>
        <b/>
        <i val="0"/>
        <sz val="14"/>
      </font>
      <fill>
        <patternFill>
          <bgColor theme="6"/>
        </patternFill>
      </fill>
    </dxf>
    <dxf>
      <fill>
        <patternFill>
          <bgColor theme="3" tint="0.59996337778862885"/>
        </patternFill>
      </fill>
    </dxf>
    <dxf>
      <numFmt numFmtId="2" formatCode="0.00"/>
    </dxf>
    <dxf>
      <numFmt numFmtId="2" formatCode="0.00"/>
    </dxf>
    <dxf>
      <numFmt numFmtId="2" formatCode="0.00"/>
    </dxf>
    <dxf>
      <numFmt numFmtId="0" formatCode="General"/>
    </dxf>
    <dxf>
      <numFmt numFmtId="2" formatCode="0.00"/>
    </dxf>
  </dxfs>
  <tableStyles count="5" defaultTableStyle="TableStyleMedium2" defaultPivotStyle="PivotStyleLight16">
    <tableStyle name="Invisible" pivot="0" table="0" count="0" xr9:uid="{0ED58859-1F08-48BD-BDAB-AC0B36CC15DB}"/>
    <tableStyle name="Slicer Style 1" pivot="0" table="0" count="1" xr9:uid="{A8DF00B9-CD49-4091-8F5B-824A176E050B}">
      <tableStyleElement type="wholeTable" dxfId="10"/>
    </tableStyle>
    <tableStyle name="Slicer Style 2" pivot="0" table="0" count="1" xr9:uid="{2FB9B418-0C08-4CAD-8477-8BBAEBDBD0A7}">
      <tableStyleElement type="headerRow" dxfId="9"/>
    </tableStyle>
    <tableStyle name="Slicer Style 3" pivot="0" table="0" count="1" xr9:uid="{C58640BE-89AD-4FFE-A48D-7B23C0B9107B}">
      <tableStyleElement type="wholeTable" dxfId="8"/>
    </tableStyle>
    <tableStyle name="Slicer Style 4" pivot="0" table="0" count="1" xr9:uid="{8530F084-0B73-44C3-B10F-931A21812375}">
      <tableStyleElement type="wholeTable" dxfId="0"/>
    </tableStyle>
  </tableStyles>
  <colors>
    <mruColors>
      <color rgb="FF1A989E"/>
      <color rgb="FFEDE8E1"/>
      <color rgb="FF272E37"/>
    </mruColors>
  </color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[Day-03 Child_Health_Data.xlsx]Pivot!PivotTable1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Pivot!$F$3:$F$4</c:f>
              <c:strCache>
                <c:ptCount val="1"/>
                <c:pt idx="0">
                  <c:v>Healthy Weight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Pivot!$E$5:$E$8</c:f>
              <c:strCache>
                <c:ptCount val="3"/>
                <c:pt idx="0">
                  <c:v>25-36</c:v>
                </c:pt>
                <c:pt idx="1">
                  <c:v>37-48</c:v>
                </c:pt>
                <c:pt idx="2">
                  <c:v>49-60</c:v>
                </c:pt>
              </c:strCache>
            </c:strRef>
          </c:cat>
          <c:val>
            <c:numRef>
              <c:f>Pivot!$F$5:$F$8</c:f>
              <c:numCache>
                <c:formatCode>General</c:formatCode>
                <c:ptCount val="3"/>
                <c:pt idx="0">
                  <c:v>6</c:v>
                </c:pt>
                <c:pt idx="1">
                  <c:v>8</c:v>
                </c:pt>
                <c:pt idx="2">
                  <c:v>10</c:v>
                </c:pt>
              </c:numCache>
            </c:numRef>
          </c:val>
          <c:extLst>
            <c:ext xmlns:c16="http://schemas.microsoft.com/office/drawing/2014/chart" uri="{C3380CC4-5D6E-409C-BE32-E72D297353CC}">
              <c16:uniqueId val="{00000000-3CCB-4024-8062-DC14195AC024}"/>
            </c:ext>
          </c:extLst>
        </c:ser>
        <c:ser>
          <c:idx val="1"/>
          <c:order val="1"/>
          <c:tx>
            <c:strRef>
              <c:f>Pivot!$G$3:$G$4</c:f>
              <c:strCache>
                <c:ptCount val="1"/>
                <c:pt idx="0">
                  <c:v>Under Weight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Pivot!$E$5:$E$8</c:f>
              <c:strCache>
                <c:ptCount val="3"/>
                <c:pt idx="0">
                  <c:v>25-36</c:v>
                </c:pt>
                <c:pt idx="1">
                  <c:v>37-48</c:v>
                </c:pt>
                <c:pt idx="2">
                  <c:v>49-60</c:v>
                </c:pt>
              </c:strCache>
            </c:strRef>
          </c:cat>
          <c:val>
            <c:numRef>
              <c:f>Pivot!$G$5:$G$8</c:f>
              <c:numCache>
                <c:formatCode>General</c:formatCode>
                <c:ptCount val="3"/>
                <c:pt idx="0">
                  <c:v>33</c:v>
                </c:pt>
                <c:pt idx="1">
                  <c:v>22</c:v>
                </c:pt>
                <c:pt idx="2">
                  <c:v>21</c:v>
                </c:pt>
              </c:numCache>
            </c:numRef>
          </c:val>
          <c:extLst>
            <c:ext xmlns:c16="http://schemas.microsoft.com/office/drawing/2014/chart" uri="{C3380CC4-5D6E-409C-BE32-E72D297353CC}">
              <c16:uniqueId val="{00000005-3CCB-4024-8062-DC14195AC024}"/>
            </c:ext>
          </c:extLst>
        </c:ser>
        <c:dLbls>
          <c:dLblPos val="outEnd"/>
          <c:showLegendKey val="0"/>
          <c:showVal val="1"/>
          <c:showCatName val="0"/>
          <c:showSerName val="0"/>
          <c:showPercent val="0"/>
          <c:showBubbleSize val="0"/>
        </c:dLbls>
        <c:gapWidth val="219"/>
        <c:overlap val="-27"/>
        <c:axId val="2140592656"/>
        <c:axId val="2140591216"/>
      </c:barChart>
      <c:catAx>
        <c:axId val="21405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solidFill>
                <a:latin typeface="+mn-lt"/>
                <a:ea typeface="+mn-ea"/>
                <a:cs typeface="+mn-cs"/>
              </a:defRPr>
            </a:pPr>
            <a:endParaRPr lang="en-US"/>
          </a:p>
        </c:txPr>
        <c:crossAx val="2140591216"/>
        <c:crosses val="autoZero"/>
        <c:auto val="1"/>
        <c:lblAlgn val="ctr"/>
        <c:lblOffset val="100"/>
        <c:noMultiLvlLbl val="0"/>
      </c:catAx>
      <c:valAx>
        <c:axId val="214059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1" u="none" strike="noStrike" kern="1200" baseline="0">
                <a:solidFill>
                  <a:schemeClr val="tx1"/>
                </a:solidFill>
                <a:latin typeface="+mn-lt"/>
                <a:ea typeface="+mn-ea"/>
                <a:cs typeface="+mn-cs"/>
              </a:defRPr>
            </a:pPr>
            <a:endParaRPr lang="en-US"/>
          </a:p>
        </c:txPr>
        <c:crossAx val="214059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5">
          <a:lumMod val="7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[Day-03 Child_Health_Data.xlsx]Pivot!PivotTable3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Pivot!$S$3</c:f>
              <c:strCache>
                <c:ptCount val="1"/>
                <c:pt idx="0">
                  <c:v>Average of Daily_Sugar_Drinks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Pivot!$R$4:$R$6</c:f>
              <c:strCache>
                <c:ptCount val="2"/>
                <c:pt idx="0">
                  <c:v>Healthy Weight</c:v>
                </c:pt>
                <c:pt idx="1">
                  <c:v>Under Weight</c:v>
                </c:pt>
              </c:strCache>
            </c:strRef>
          </c:cat>
          <c:val>
            <c:numRef>
              <c:f>Pivot!$S$4:$S$6</c:f>
              <c:numCache>
                <c:formatCode>0.00</c:formatCode>
                <c:ptCount val="2"/>
                <c:pt idx="0">
                  <c:v>1.5833333333333333</c:v>
                </c:pt>
                <c:pt idx="1">
                  <c:v>1.3026315789473684</c:v>
                </c:pt>
              </c:numCache>
            </c:numRef>
          </c:val>
          <c:extLst>
            <c:ext xmlns:c16="http://schemas.microsoft.com/office/drawing/2014/chart" uri="{C3380CC4-5D6E-409C-BE32-E72D297353CC}">
              <c16:uniqueId val="{00000000-91F3-480D-8315-1AE5FF23B198}"/>
            </c:ext>
          </c:extLst>
        </c:ser>
        <c:ser>
          <c:idx val="1"/>
          <c:order val="1"/>
          <c:tx>
            <c:strRef>
              <c:f>Pivot!$T$3</c:f>
              <c:strCache>
                <c:ptCount val="1"/>
                <c:pt idx="0">
                  <c:v>Average of ScreenTime_Hours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Pivot!$R$4:$R$6</c:f>
              <c:strCache>
                <c:ptCount val="2"/>
                <c:pt idx="0">
                  <c:v>Healthy Weight</c:v>
                </c:pt>
                <c:pt idx="1">
                  <c:v>Under Weight</c:v>
                </c:pt>
              </c:strCache>
            </c:strRef>
          </c:cat>
          <c:val>
            <c:numRef>
              <c:f>Pivot!$T$4:$T$6</c:f>
              <c:numCache>
                <c:formatCode>0.00</c:formatCode>
                <c:ptCount val="2"/>
                <c:pt idx="0">
                  <c:v>1.6875000000000002</c:v>
                </c:pt>
                <c:pt idx="1">
                  <c:v>1.2986842105263157</c:v>
                </c:pt>
              </c:numCache>
            </c:numRef>
          </c:val>
          <c:extLst>
            <c:ext xmlns:c16="http://schemas.microsoft.com/office/drawing/2014/chart" uri="{C3380CC4-5D6E-409C-BE32-E72D297353CC}">
              <c16:uniqueId val="{00000001-91F3-480D-8315-1AE5FF23B198}"/>
            </c:ext>
          </c:extLst>
        </c:ser>
        <c:dLbls>
          <c:dLblPos val="outEnd"/>
          <c:showLegendKey val="0"/>
          <c:showVal val="1"/>
          <c:showCatName val="0"/>
          <c:showSerName val="0"/>
          <c:showPercent val="0"/>
          <c:showBubbleSize val="0"/>
        </c:dLbls>
        <c:gapWidth val="182"/>
        <c:axId val="374766096"/>
        <c:axId val="374763696"/>
      </c:barChart>
      <c:catAx>
        <c:axId val="37476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solidFill>
                <a:latin typeface="+mn-lt"/>
                <a:ea typeface="+mn-ea"/>
                <a:cs typeface="+mn-cs"/>
              </a:defRPr>
            </a:pPr>
            <a:endParaRPr lang="en-US"/>
          </a:p>
        </c:txPr>
        <c:crossAx val="374763696"/>
        <c:crosses val="autoZero"/>
        <c:auto val="1"/>
        <c:lblAlgn val="ctr"/>
        <c:lblOffset val="100"/>
        <c:noMultiLvlLbl val="0"/>
      </c:catAx>
      <c:valAx>
        <c:axId val="3747636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tx1"/>
                </a:solidFill>
                <a:latin typeface="+mn-lt"/>
                <a:ea typeface="+mn-ea"/>
                <a:cs typeface="+mn-cs"/>
              </a:defRPr>
            </a:pPr>
            <a:endParaRPr lang="en-US"/>
          </a:p>
        </c:txPr>
        <c:crossAx val="37476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[Day-03 Child_Health_Data.xlsx]Pivot!PivotTable2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Pivot!$K$3:$K$4</c:f>
              <c:strCache>
                <c:ptCount val="1"/>
                <c:pt idx="0">
                  <c:v>0</c:v>
                </c:pt>
              </c:strCache>
            </c:strRef>
          </c:tx>
          <c:spPr>
            <a:solidFill>
              <a:schemeClr val="accent1"/>
            </a:solidFill>
            <a:ln>
              <a:noFill/>
            </a:ln>
            <a:effectLst/>
            <a:sp3d/>
          </c:spPr>
          <c:invertIfNegative val="0"/>
          <c:cat>
            <c:strRef>
              <c:f>Pivot!$J$5:$J$10</c:f>
              <c:strCache>
                <c:ptCount val="5"/>
                <c:pt idx="0">
                  <c:v>0</c:v>
                </c:pt>
                <c:pt idx="1">
                  <c:v>1</c:v>
                </c:pt>
                <c:pt idx="2">
                  <c:v>2</c:v>
                </c:pt>
                <c:pt idx="3">
                  <c:v>3</c:v>
                </c:pt>
                <c:pt idx="4">
                  <c:v>4</c:v>
                </c:pt>
              </c:strCache>
            </c:strRef>
          </c:cat>
          <c:val>
            <c:numRef>
              <c:f>Pivot!$K$5:$K$10</c:f>
              <c:numCache>
                <c:formatCode>0.00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FAAA-4032-ACBB-4B1DFD481A09}"/>
            </c:ext>
          </c:extLst>
        </c:ser>
        <c:ser>
          <c:idx val="1"/>
          <c:order val="1"/>
          <c:tx>
            <c:strRef>
              <c:f>Pivot!$L$3:$L$4</c:f>
              <c:strCache>
                <c:ptCount val="1"/>
                <c:pt idx="0">
                  <c:v>1</c:v>
                </c:pt>
              </c:strCache>
            </c:strRef>
          </c:tx>
          <c:spPr>
            <a:solidFill>
              <a:schemeClr val="accent2"/>
            </a:solidFill>
            <a:ln>
              <a:noFill/>
            </a:ln>
            <a:effectLst/>
            <a:sp3d/>
          </c:spPr>
          <c:invertIfNegative val="0"/>
          <c:cat>
            <c:strRef>
              <c:f>Pivot!$J$5:$J$10</c:f>
              <c:strCache>
                <c:ptCount val="5"/>
                <c:pt idx="0">
                  <c:v>0</c:v>
                </c:pt>
                <c:pt idx="1">
                  <c:v>1</c:v>
                </c:pt>
                <c:pt idx="2">
                  <c:v>2</c:v>
                </c:pt>
                <c:pt idx="3">
                  <c:v>3</c:v>
                </c:pt>
                <c:pt idx="4">
                  <c:v>4</c:v>
                </c:pt>
              </c:strCache>
            </c:strRef>
          </c:cat>
          <c:val>
            <c:numRef>
              <c:f>Pivot!$L$5:$L$10</c:f>
              <c:numCache>
                <c:formatCode>0.00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FAAA-4032-ACBB-4B1DFD481A09}"/>
            </c:ext>
          </c:extLst>
        </c:ser>
        <c:ser>
          <c:idx val="2"/>
          <c:order val="2"/>
          <c:tx>
            <c:strRef>
              <c:f>Pivot!$M$3:$M$4</c:f>
              <c:strCache>
                <c:ptCount val="1"/>
                <c:pt idx="0">
                  <c:v>2</c:v>
                </c:pt>
              </c:strCache>
            </c:strRef>
          </c:tx>
          <c:spPr>
            <a:solidFill>
              <a:schemeClr val="accent3"/>
            </a:solidFill>
            <a:ln>
              <a:noFill/>
            </a:ln>
            <a:effectLst/>
            <a:sp3d/>
          </c:spPr>
          <c:invertIfNegative val="0"/>
          <c:cat>
            <c:strRef>
              <c:f>Pivot!$J$5:$J$10</c:f>
              <c:strCache>
                <c:ptCount val="5"/>
                <c:pt idx="0">
                  <c:v>0</c:v>
                </c:pt>
                <c:pt idx="1">
                  <c:v>1</c:v>
                </c:pt>
                <c:pt idx="2">
                  <c:v>2</c:v>
                </c:pt>
                <c:pt idx="3">
                  <c:v>3</c:v>
                </c:pt>
                <c:pt idx="4">
                  <c:v>4</c:v>
                </c:pt>
              </c:strCache>
            </c:strRef>
          </c:cat>
          <c:val>
            <c:numRef>
              <c:f>Pivot!$M$5:$M$10</c:f>
              <c:numCache>
                <c:formatCode>0.00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FAAA-4032-ACBB-4B1DFD481A09}"/>
            </c:ext>
          </c:extLst>
        </c:ser>
        <c:ser>
          <c:idx val="3"/>
          <c:order val="3"/>
          <c:tx>
            <c:strRef>
              <c:f>Pivot!$N$3:$N$4</c:f>
              <c:strCache>
                <c:ptCount val="1"/>
                <c:pt idx="0">
                  <c:v>3</c:v>
                </c:pt>
              </c:strCache>
            </c:strRef>
          </c:tx>
          <c:spPr>
            <a:solidFill>
              <a:schemeClr val="accent4"/>
            </a:solidFill>
            <a:ln>
              <a:noFill/>
            </a:ln>
            <a:effectLst/>
            <a:sp3d/>
          </c:spPr>
          <c:invertIfNegative val="0"/>
          <c:cat>
            <c:strRef>
              <c:f>Pivot!$J$5:$J$10</c:f>
              <c:strCache>
                <c:ptCount val="5"/>
                <c:pt idx="0">
                  <c:v>0</c:v>
                </c:pt>
                <c:pt idx="1">
                  <c:v>1</c:v>
                </c:pt>
                <c:pt idx="2">
                  <c:v>2</c:v>
                </c:pt>
                <c:pt idx="3">
                  <c:v>3</c:v>
                </c:pt>
                <c:pt idx="4">
                  <c:v>4</c:v>
                </c:pt>
              </c:strCache>
            </c:strRef>
          </c:cat>
          <c:val>
            <c:numRef>
              <c:f>Pivot!$N$5:$N$10</c:f>
              <c:numCache>
                <c:formatCode>0.00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6-FAAA-4032-ACBB-4B1DFD481A09}"/>
            </c:ext>
          </c:extLst>
        </c:ser>
        <c:ser>
          <c:idx val="4"/>
          <c:order val="4"/>
          <c:tx>
            <c:strRef>
              <c:f>Pivot!$O$3:$O$4</c:f>
              <c:strCache>
                <c:ptCount val="1"/>
                <c:pt idx="0">
                  <c:v>4</c:v>
                </c:pt>
              </c:strCache>
            </c:strRef>
          </c:tx>
          <c:spPr>
            <a:solidFill>
              <a:schemeClr val="accent5"/>
            </a:solidFill>
            <a:ln>
              <a:noFill/>
            </a:ln>
            <a:effectLst/>
            <a:sp3d/>
          </c:spPr>
          <c:invertIfNegative val="0"/>
          <c:cat>
            <c:strRef>
              <c:f>Pivot!$J$5:$J$10</c:f>
              <c:strCache>
                <c:ptCount val="5"/>
                <c:pt idx="0">
                  <c:v>0</c:v>
                </c:pt>
                <c:pt idx="1">
                  <c:v>1</c:v>
                </c:pt>
                <c:pt idx="2">
                  <c:v>2</c:v>
                </c:pt>
                <c:pt idx="3">
                  <c:v>3</c:v>
                </c:pt>
                <c:pt idx="4">
                  <c:v>4</c:v>
                </c:pt>
              </c:strCache>
            </c:strRef>
          </c:cat>
          <c:val>
            <c:numRef>
              <c:f>Pivot!$O$5:$O$10</c:f>
              <c:numCache>
                <c:formatCode>0.00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7-FAAA-4032-ACBB-4B1DFD481A09}"/>
            </c:ext>
          </c:extLst>
        </c:ser>
        <c:dLbls>
          <c:showLegendKey val="0"/>
          <c:showVal val="0"/>
          <c:showCatName val="0"/>
          <c:showSerName val="0"/>
          <c:showPercent val="0"/>
          <c:showBubbleSize val="0"/>
        </c:dLbls>
        <c:gapWidth val="150"/>
        <c:shape val="box"/>
        <c:axId val="368704192"/>
        <c:axId val="368704672"/>
        <c:axId val="0"/>
      </c:bar3DChart>
      <c:catAx>
        <c:axId val="36870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68704672"/>
        <c:crosses val="autoZero"/>
        <c:auto val="1"/>
        <c:lblAlgn val="ctr"/>
        <c:lblOffset val="100"/>
        <c:noMultiLvlLbl val="0"/>
      </c:catAx>
      <c:valAx>
        <c:axId val="368704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crossAx val="36870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5">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[Day-03 Child_Health_Data.xlsx]Pivot!PivotTable5</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BB6-4B6D-9E43-DD0691AE509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BB6-4B6D-9E43-DD0691AE509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BB6-4B6D-9E43-DD0691AE509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BB6-4B6D-9E43-DD0691AE509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BB6-4B6D-9E43-DD0691AE50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Pivot!$K$15:$K$20</c:f>
              <c:strCache>
                <c:ptCount val="5"/>
                <c:pt idx="0">
                  <c:v>Central</c:v>
                </c:pt>
                <c:pt idx="1">
                  <c:v>East</c:v>
                </c:pt>
                <c:pt idx="2">
                  <c:v>North</c:v>
                </c:pt>
                <c:pt idx="3">
                  <c:v>South</c:v>
                </c:pt>
                <c:pt idx="4">
                  <c:v>West</c:v>
                </c:pt>
              </c:strCache>
            </c:strRef>
          </c:cat>
          <c:val>
            <c:numRef>
              <c:f>Pivot!$L$15:$L$20</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A-4BB6-4B6D-9E43-DD0691AE509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705713898555998"/>
          <c:y val="9.3802162406998874E-2"/>
          <c:w val="0.29631562765732972"/>
          <c:h val="0.836513754798592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87462</xdr:colOff>
      <xdr:row>2</xdr:row>
      <xdr:rowOff>71561</xdr:rowOff>
    </xdr:from>
    <xdr:to>
      <xdr:col>19</xdr:col>
      <xdr:colOff>326001</xdr:colOff>
      <xdr:row>39</xdr:row>
      <xdr:rowOff>119269</xdr:rowOff>
    </xdr:to>
    <xdr:sp macro="" textlink="">
      <xdr:nvSpPr>
        <xdr:cNvPr id="2" name="Rectangle: Rounded Corners 1">
          <a:extLst>
            <a:ext uri="{FF2B5EF4-FFF2-40B4-BE49-F238E27FC236}">
              <a16:creationId xmlns:a16="http://schemas.microsoft.com/office/drawing/2014/main" id="{A2A38FDB-0813-52B8-5611-BF6CC7C81295}"/>
            </a:ext>
          </a:extLst>
        </xdr:cNvPr>
        <xdr:cNvSpPr/>
      </xdr:nvSpPr>
      <xdr:spPr>
        <a:xfrm>
          <a:off x="1359670" y="445740"/>
          <a:ext cx="11052313" cy="6970020"/>
        </a:xfrm>
        <a:prstGeom prst="roundRect">
          <a:avLst>
            <a:gd name="adj" fmla="val 1116"/>
          </a:avLst>
        </a:prstGeom>
        <a:ln w="22225">
          <a:solidFill>
            <a:schemeClr val="accent5">
              <a:lumMod val="7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155625</xdr:colOff>
      <xdr:row>2</xdr:row>
      <xdr:rowOff>140315</xdr:rowOff>
    </xdr:from>
    <xdr:to>
      <xdr:col>19</xdr:col>
      <xdr:colOff>289989</xdr:colOff>
      <xdr:row>7</xdr:row>
      <xdr:rowOff>13095</xdr:rowOff>
    </xdr:to>
    <xdr:sp macro="" textlink="">
      <xdr:nvSpPr>
        <xdr:cNvPr id="3" name="Rectangle: Rounded Corners 2">
          <a:extLst>
            <a:ext uri="{FF2B5EF4-FFF2-40B4-BE49-F238E27FC236}">
              <a16:creationId xmlns:a16="http://schemas.microsoft.com/office/drawing/2014/main" id="{016D4FCA-A18A-D3D0-E836-F06C225E3739}"/>
            </a:ext>
          </a:extLst>
        </xdr:cNvPr>
        <xdr:cNvSpPr/>
      </xdr:nvSpPr>
      <xdr:spPr>
        <a:xfrm>
          <a:off x="1427833" y="514494"/>
          <a:ext cx="10948138" cy="808228"/>
        </a:xfrm>
        <a:prstGeom prst="roundRect">
          <a:avLst/>
        </a:prstGeom>
        <a:solidFill>
          <a:schemeClr val="accent2">
            <a:alpha val="35000"/>
          </a:schemeClr>
        </a:solidFill>
        <a:ln w="22225">
          <a:solidFill>
            <a:schemeClr val="accent5">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486432</xdr:colOff>
      <xdr:row>13</xdr:row>
      <xdr:rowOff>3</xdr:rowOff>
    </xdr:from>
    <xdr:to>
      <xdr:col>12</xdr:col>
      <xdr:colOff>39028</xdr:colOff>
      <xdr:row>25</xdr:row>
      <xdr:rowOff>112255</xdr:rowOff>
    </xdr:to>
    <xdr:graphicFrame macro="">
      <xdr:nvGraphicFramePr>
        <xdr:cNvPr id="4" name="Chart 3">
          <a:extLst>
            <a:ext uri="{FF2B5EF4-FFF2-40B4-BE49-F238E27FC236}">
              <a16:creationId xmlns:a16="http://schemas.microsoft.com/office/drawing/2014/main" id="{7DA65478-FEA0-4FEE-91FF-04CDB775B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533205</xdr:colOff>
      <xdr:row>25</xdr:row>
      <xdr:rowOff>171313</xdr:rowOff>
    </xdr:from>
    <xdr:to>
      <xdr:col>12</xdr:col>
      <xdr:colOff>57826</xdr:colOff>
      <xdr:row>39</xdr:row>
      <xdr:rowOff>43371</xdr:rowOff>
    </xdr:to>
    <xdr:graphicFrame macro="">
      <xdr:nvGraphicFramePr>
        <xdr:cNvPr id="5" name="Chart 4">
          <a:extLst>
            <a:ext uri="{FF2B5EF4-FFF2-40B4-BE49-F238E27FC236}">
              <a16:creationId xmlns:a16="http://schemas.microsoft.com/office/drawing/2014/main" id="{D057F5DE-01DF-4BE6-AEB4-CB0F8BC66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114205</xdr:colOff>
      <xdr:row>13</xdr:row>
      <xdr:rowOff>1</xdr:rowOff>
    </xdr:from>
    <xdr:to>
      <xdr:col>19</xdr:col>
      <xdr:colOff>233477</xdr:colOff>
      <xdr:row>25</xdr:row>
      <xdr:rowOff>89632</xdr:rowOff>
    </xdr:to>
    <xdr:graphicFrame macro="">
      <xdr:nvGraphicFramePr>
        <xdr:cNvPr id="6" name="Chart 5">
          <a:extLst>
            <a:ext uri="{FF2B5EF4-FFF2-40B4-BE49-F238E27FC236}">
              <a16:creationId xmlns:a16="http://schemas.microsoft.com/office/drawing/2014/main" id="{1F481E55-2B4E-4D9D-8BD0-07CCA700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115655</xdr:colOff>
      <xdr:row>25</xdr:row>
      <xdr:rowOff>159026</xdr:rowOff>
    </xdr:from>
    <xdr:to>
      <xdr:col>19</xdr:col>
      <xdr:colOff>245768</xdr:colOff>
      <xdr:row>39</xdr:row>
      <xdr:rowOff>43372</xdr:rowOff>
    </xdr:to>
    <xdr:graphicFrame macro="">
      <xdr:nvGraphicFramePr>
        <xdr:cNvPr id="9" name="Chart 8">
          <a:extLst>
            <a:ext uri="{FF2B5EF4-FFF2-40B4-BE49-F238E27FC236}">
              <a16:creationId xmlns:a16="http://schemas.microsoft.com/office/drawing/2014/main" id="{FCC1AE8F-4213-4C53-A909-D8ED96101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159026</xdr:colOff>
      <xdr:row>7</xdr:row>
      <xdr:rowOff>53576</xdr:rowOff>
    </xdr:from>
    <xdr:to>
      <xdr:col>19</xdr:col>
      <xdr:colOff>271280</xdr:colOff>
      <xdr:row>12</xdr:row>
      <xdr:rowOff>82491</xdr:rowOff>
    </xdr:to>
    <xdr:sp macro="" textlink="Pivot!C6">
      <xdr:nvSpPr>
        <xdr:cNvPr id="14" name="Rectangle: Rounded Corners 13">
          <a:extLst>
            <a:ext uri="{FF2B5EF4-FFF2-40B4-BE49-F238E27FC236}">
              <a16:creationId xmlns:a16="http://schemas.microsoft.com/office/drawing/2014/main" id="{879C6696-3B5E-AAE5-0BA3-CDF972305443}"/>
            </a:ext>
          </a:extLst>
        </xdr:cNvPr>
        <xdr:cNvSpPr/>
      </xdr:nvSpPr>
      <xdr:spPr>
        <a:xfrm>
          <a:off x="7792278" y="1363203"/>
          <a:ext cx="4564984" cy="964362"/>
        </a:xfrm>
        <a:prstGeom prst="roundRect">
          <a:avLst>
            <a:gd name="adj" fmla="val 9204"/>
          </a:avLst>
        </a:prstGeom>
        <a:ln w="22225">
          <a:solidFill>
            <a:schemeClr val="accent5">
              <a:lumMod val="7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fld id="{ED3805C6-B807-455E-A4A0-0A5B5D2BE0B3}" type="TxLink">
            <a:rPr lang="en-US" sz="1600" b="1" i="1" u="none" strike="noStrike">
              <a:solidFill>
                <a:srgbClr val="000000"/>
              </a:solidFill>
              <a:latin typeface="Times New Roman" panose="02020603050405020304" pitchFamily="18" charset="0"/>
              <a:ea typeface="Calibri"/>
              <a:cs typeface="Times New Roman" panose="02020603050405020304" pitchFamily="18" charset="0"/>
            </a:rPr>
            <a:pPr marL="0" indent="0" algn="ctr"/>
            <a:t>17.06</a:t>
          </a:fld>
          <a:endParaRPr lang="en-IN" sz="1600" b="1" i="1"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477079</xdr:colOff>
      <xdr:row>7</xdr:row>
      <xdr:rowOff>72285</xdr:rowOff>
    </xdr:from>
    <xdr:to>
      <xdr:col>12</xdr:col>
      <xdr:colOff>102899</xdr:colOff>
      <xdr:row>12</xdr:row>
      <xdr:rowOff>101200</xdr:rowOff>
    </xdr:to>
    <xdr:sp macro="" textlink="Pivot!A6">
      <xdr:nvSpPr>
        <xdr:cNvPr id="15" name="Rectangle: Rounded Corners 14">
          <a:extLst>
            <a:ext uri="{FF2B5EF4-FFF2-40B4-BE49-F238E27FC236}">
              <a16:creationId xmlns:a16="http://schemas.microsoft.com/office/drawing/2014/main" id="{D770398F-F519-B19B-252D-C95CF99B041F}"/>
            </a:ext>
          </a:extLst>
        </xdr:cNvPr>
        <xdr:cNvSpPr/>
      </xdr:nvSpPr>
      <xdr:spPr>
        <a:xfrm>
          <a:off x="3021497" y="1381912"/>
          <a:ext cx="4714654" cy="964362"/>
        </a:xfrm>
        <a:prstGeom prst="roundRect">
          <a:avLst>
            <a:gd name="adj" fmla="val 9204"/>
          </a:avLst>
        </a:prstGeom>
        <a:gradFill>
          <a:gsLst>
            <a:gs pos="20000">
              <a:schemeClr val="accent3">
                <a:satMod val="105000"/>
                <a:tint val="67000"/>
                <a:lumMod val="98000"/>
                <a:lumOff val="2000"/>
              </a:schemeClr>
            </a:gs>
            <a:gs pos="50000">
              <a:schemeClr val="accent3">
                <a:lumMod val="105000"/>
                <a:satMod val="103000"/>
                <a:tint val="73000"/>
              </a:schemeClr>
            </a:gs>
            <a:gs pos="100000">
              <a:schemeClr val="accent3">
                <a:lumMod val="105000"/>
                <a:satMod val="109000"/>
                <a:tint val="81000"/>
              </a:schemeClr>
            </a:gs>
          </a:gsLst>
        </a:gradFill>
        <a:ln w="22225">
          <a:solidFill>
            <a:schemeClr val="accent5">
              <a:lumMod val="7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fld id="{A1476E7B-C486-4036-BD97-015A626FC3A1}" type="TxLink">
            <a:rPr lang="en-US" sz="1600" b="1" i="1" u="none" strike="noStrike">
              <a:solidFill>
                <a:srgbClr val="000000"/>
              </a:solidFill>
              <a:latin typeface="Times New Roman" panose="02020603050405020304" pitchFamily="18" charset="0"/>
              <a:ea typeface="Calibri"/>
              <a:cs typeface="Times New Roman" panose="02020603050405020304" pitchFamily="18" charset="0"/>
            </a:rPr>
            <a:pPr marL="0" indent="0" algn="ctr"/>
            <a:t>1.39</a:t>
          </a:fld>
          <a:endParaRPr lang="en-IN" sz="1600" b="1" i="1"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2</xdr:col>
      <xdr:colOff>177734</xdr:colOff>
      <xdr:row>7</xdr:row>
      <xdr:rowOff>46771</xdr:rowOff>
    </xdr:from>
    <xdr:to>
      <xdr:col>4</xdr:col>
      <xdr:colOff>423502</xdr:colOff>
      <xdr:row>14</xdr:row>
      <xdr:rowOff>18708</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01F3C10D-4127-4297-BE9E-D8E4A3582E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49943" y="1398492"/>
              <a:ext cx="1517976" cy="1323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177736</xdr:colOff>
      <xdr:row>25</xdr:row>
      <xdr:rowOff>149671</xdr:rowOff>
    </xdr:from>
    <xdr:to>
      <xdr:col>4</xdr:col>
      <xdr:colOff>439660</xdr:colOff>
      <xdr:row>39</xdr:row>
      <xdr:rowOff>84190</xdr:rowOff>
    </xdr:to>
    <mc:AlternateContent xmlns:mc="http://schemas.openxmlformats.org/markup-compatibility/2006">
      <mc:Choice xmlns:a14="http://schemas.microsoft.com/office/drawing/2010/main" Requires="a14">
        <xdr:graphicFrame macro="">
          <xdr:nvGraphicFramePr>
            <xdr:cNvPr id="18" name="Health Status">
              <a:extLst>
                <a:ext uri="{FF2B5EF4-FFF2-40B4-BE49-F238E27FC236}">
                  <a16:creationId xmlns:a16="http://schemas.microsoft.com/office/drawing/2014/main" id="{7E545565-B7D6-4FEA-A4EA-AED3648311B6}"/>
                </a:ext>
              </a:extLst>
            </xdr:cNvPr>
            <xdr:cNvGraphicFramePr/>
          </xdr:nvGraphicFramePr>
          <xdr:xfrm>
            <a:off x="0" y="0"/>
            <a:ext cx="0" cy="0"/>
          </xdr:xfrm>
          <a:graphic>
            <a:graphicData uri="http://schemas.microsoft.com/office/drawing/2010/slicer">
              <sle:slicer xmlns:sle="http://schemas.microsoft.com/office/drawing/2010/slicer" name="Health Status"/>
            </a:graphicData>
          </a:graphic>
        </xdr:graphicFrame>
      </mc:Choice>
      <mc:Fallback>
        <xdr:sp macro="" textlink="">
          <xdr:nvSpPr>
            <xdr:cNvPr id="0" name=""/>
            <xdr:cNvSpPr>
              <a:spLocks noTextEdit="1"/>
            </xdr:cNvSpPr>
          </xdr:nvSpPr>
          <xdr:spPr>
            <a:xfrm>
              <a:off x="1449945" y="4977248"/>
              <a:ext cx="1534132" cy="2637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149673</xdr:colOff>
      <xdr:row>14</xdr:row>
      <xdr:rowOff>57831</xdr:rowOff>
    </xdr:from>
    <xdr:to>
      <xdr:col>4</xdr:col>
      <xdr:colOff>453269</xdr:colOff>
      <xdr:row>25</xdr:row>
      <xdr:rowOff>101199</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F637438E-EC9D-45A5-9B8A-74B30B9D14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1882" y="2761274"/>
              <a:ext cx="1575804" cy="2167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411598</xdr:colOff>
      <xdr:row>3</xdr:row>
      <xdr:rowOff>130963</xdr:rowOff>
    </xdr:from>
    <xdr:to>
      <xdr:col>19</xdr:col>
      <xdr:colOff>140318</xdr:colOff>
      <xdr:row>6</xdr:row>
      <xdr:rowOff>28063</xdr:rowOff>
    </xdr:to>
    <xdr:sp macro="" textlink="">
      <xdr:nvSpPr>
        <xdr:cNvPr id="19" name="TextBox 18">
          <a:extLst>
            <a:ext uri="{FF2B5EF4-FFF2-40B4-BE49-F238E27FC236}">
              <a16:creationId xmlns:a16="http://schemas.microsoft.com/office/drawing/2014/main" id="{B2CD24BC-E834-438C-6DA0-73B0E94F0067}"/>
            </a:ext>
          </a:extLst>
        </xdr:cNvPr>
        <xdr:cNvSpPr txBox="1"/>
      </xdr:nvSpPr>
      <xdr:spPr>
        <a:xfrm>
          <a:off x="1683806" y="692231"/>
          <a:ext cx="10542494" cy="45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latin typeface="Times New Roman" panose="02020603050405020304" pitchFamily="18" charset="0"/>
              <a:cs typeface="Times New Roman" panose="02020603050405020304" pitchFamily="18" charset="0"/>
            </a:rPr>
            <a:t>Child Health</a:t>
          </a:r>
          <a:r>
            <a:rPr lang="en-IN" sz="3600" b="1" i="1" baseline="0">
              <a:latin typeface="Times New Roman" panose="02020603050405020304" pitchFamily="18" charset="0"/>
              <a:cs typeface="Times New Roman" panose="02020603050405020304" pitchFamily="18" charset="0"/>
            </a:rPr>
            <a:t> Analysis Dashboard</a:t>
          </a:r>
          <a:endParaRPr lang="en-IN" sz="3600" b="1" i="1">
            <a:latin typeface="Times New Roman" panose="02020603050405020304" pitchFamily="18" charset="0"/>
            <a:cs typeface="Times New Roman" panose="02020603050405020304" pitchFamily="18" charset="0"/>
          </a:endParaRPr>
        </a:p>
      </xdr:txBody>
    </xdr:sp>
    <xdr:clientData/>
  </xdr:twoCellAnchor>
  <xdr:twoCellAnchor>
    <xdr:from>
      <xdr:col>5</xdr:col>
      <xdr:colOff>336762</xdr:colOff>
      <xdr:row>7</xdr:row>
      <xdr:rowOff>102900</xdr:rowOff>
    </xdr:from>
    <xdr:to>
      <xdr:col>11</xdr:col>
      <xdr:colOff>205797</xdr:colOff>
      <xdr:row>9</xdr:row>
      <xdr:rowOff>46772</xdr:rowOff>
    </xdr:to>
    <xdr:sp macro="" textlink="">
      <xdr:nvSpPr>
        <xdr:cNvPr id="20" name="TextBox 19">
          <a:extLst>
            <a:ext uri="{FF2B5EF4-FFF2-40B4-BE49-F238E27FC236}">
              <a16:creationId xmlns:a16="http://schemas.microsoft.com/office/drawing/2014/main" id="{904FD855-34D6-E8A3-76B0-CF6FCEB17EDA}"/>
            </a:ext>
          </a:extLst>
        </xdr:cNvPr>
        <xdr:cNvSpPr txBox="1"/>
      </xdr:nvSpPr>
      <xdr:spPr>
        <a:xfrm>
          <a:off x="3517283" y="1412527"/>
          <a:ext cx="3685662" cy="318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latin typeface="Times New Roman" panose="02020603050405020304" pitchFamily="18" charset="0"/>
              <a:cs typeface="Times New Roman" panose="02020603050405020304" pitchFamily="18" charset="0"/>
            </a:rPr>
            <a:t>BMI Avg</a:t>
          </a:r>
        </a:p>
      </xdr:txBody>
    </xdr:sp>
    <xdr:clientData/>
  </xdr:twoCellAnchor>
  <xdr:twoCellAnchor>
    <xdr:from>
      <xdr:col>12</xdr:col>
      <xdr:colOff>514497</xdr:colOff>
      <xdr:row>7</xdr:row>
      <xdr:rowOff>84190</xdr:rowOff>
    </xdr:from>
    <xdr:to>
      <xdr:col>19</xdr:col>
      <xdr:colOff>215155</xdr:colOff>
      <xdr:row>9</xdr:row>
      <xdr:rowOff>28063</xdr:rowOff>
    </xdr:to>
    <xdr:sp macro="" textlink="">
      <xdr:nvSpPr>
        <xdr:cNvPr id="21" name="TextBox 20">
          <a:extLst>
            <a:ext uri="{FF2B5EF4-FFF2-40B4-BE49-F238E27FC236}">
              <a16:creationId xmlns:a16="http://schemas.microsoft.com/office/drawing/2014/main" id="{72F361D4-75DA-491B-A7F8-9C650912DBA0}"/>
            </a:ext>
          </a:extLst>
        </xdr:cNvPr>
        <xdr:cNvSpPr txBox="1"/>
      </xdr:nvSpPr>
      <xdr:spPr>
        <a:xfrm>
          <a:off x="8147749" y="1393817"/>
          <a:ext cx="4153388" cy="318052"/>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1" u="none" strike="noStrike">
              <a:solidFill>
                <a:srgbClr val="000000"/>
              </a:solidFill>
              <a:latin typeface="Times New Roman" panose="02020603050405020304" pitchFamily="18" charset="0"/>
              <a:ea typeface="Calibri"/>
              <a:cs typeface="Times New Roman" panose="02020603050405020304" pitchFamily="18" charset="0"/>
            </a:rPr>
            <a:t>ScreenTime Hours</a:t>
          </a:r>
        </a:p>
      </xdr:txBody>
    </xdr:sp>
    <xdr:clientData/>
  </xdr:twoCellAnchor>
  <xdr:twoCellAnchor editAs="oneCell">
    <xdr:from>
      <xdr:col>3</xdr:col>
      <xdr:colOff>57828</xdr:colOff>
      <xdr:row>2</xdr:row>
      <xdr:rowOff>84191</xdr:rowOff>
    </xdr:from>
    <xdr:to>
      <xdr:col>5</xdr:col>
      <xdr:colOff>173482</xdr:colOff>
      <xdr:row>7</xdr:row>
      <xdr:rowOff>28063</xdr:rowOff>
    </xdr:to>
    <xdr:pic>
      <xdr:nvPicPr>
        <xdr:cNvPr id="24" name="Graphic 23" descr="Medical with solid fill">
          <a:extLst>
            <a:ext uri="{FF2B5EF4-FFF2-40B4-BE49-F238E27FC236}">
              <a16:creationId xmlns:a16="http://schemas.microsoft.com/office/drawing/2014/main" id="{1D9F5E33-B3C0-F2D3-0B52-2A8FE39144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6141" y="460071"/>
          <a:ext cx="1387863" cy="8835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099.651592824077" createdVersion="8" refreshedVersion="8" minRefreshableVersion="3" recordCount="100" xr:uid="{63DF5C5A-3F5D-4A1C-8361-A111BBF3CB4A}">
  <cacheSource type="worksheet">
    <worksheetSource name="Table1"/>
  </cacheSource>
  <cacheFields count="12">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startNum="25" endNum="59" groupInterval="12"/>
        <groupItems count="5">
          <s v="&lt;25"/>
          <s v="25-36"/>
          <s v="37-48"/>
          <s v="49-60"/>
          <s v="&gt;61"/>
        </groupItems>
      </fieldGroup>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acheField>
    <cacheField name="Health Status" numFmtId="0">
      <sharedItems count="2">
        <s v="Under Weight"/>
        <s v="Healthy Weight"/>
      </sharedItems>
    </cacheField>
  </cacheFields>
  <extLst>
    <ext xmlns:x14="http://schemas.microsoft.com/office/spreadsheetml/2009/9/main" uri="{725AE2AE-9491-48be-B2B4-4EB974FC3084}">
      <x14:pivotCacheDefinition pivotCacheId="588242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04.41"/>
    <n v="17.34"/>
    <x v="0"/>
    <x v="0"/>
    <n v="3"/>
    <n v="1.2"/>
    <x v="0"/>
    <n v="15.90614369846883"/>
    <x v="0"/>
  </r>
  <r>
    <x v="1"/>
    <x v="1"/>
    <x v="0"/>
    <n v="99.08"/>
    <n v="16.21"/>
    <x v="1"/>
    <x v="1"/>
    <n v="1"/>
    <n v="1.4"/>
    <x v="1"/>
    <n v="16.512431120446177"/>
    <x v="0"/>
  </r>
  <r>
    <x v="2"/>
    <x v="2"/>
    <x v="0"/>
    <n v="94.96"/>
    <n v="17.3"/>
    <x v="2"/>
    <x v="2"/>
    <n v="2"/>
    <n v="0.6"/>
    <x v="1"/>
    <n v="19.185127564907393"/>
    <x v="1"/>
  </r>
  <r>
    <x v="3"/>
    <x v="3"/>
    <x v="0"/>
    <n v="100.65"/>
    <n v="20.010000000000002"/>
    <x v="3"/>
    <x v="3"/>
    <n v="1"/>
    <n v="1.5"/>
    <x v="1"/>
    <n v="19.75238446372795"/>
    <x v="1"/>
  </r>
  <r>
    <x v="4"/>
    <x v="4"/>
    <x v="0"/>
    <n v="90.06"/>
    <n v="12.16"/>
    <x v="1"/>
    <x v="1"/>
    <n v="0"/>
    <n v="0.9"/>
    <x v="0"/>
    <n v="14.992349216790304"/>
    <x v="0"/>
  </r>
  <r>
    <x v="5"/>
    <x v="5"/>
    <x v="1"/>
    <n v="108.82"/>
    <n v="21.54"/>
    <x v="1"/>
    <x v="1"/>
    <n v="1"/>
    <n v="0.9"/>
    <x v="2"/>
    <n v="18.189813900132215"/>
    <x v="0"/>
  </r>
  <r>
    <x v="6"/>
    <x v="6"/>
    <x v="1"/>
    <n v="110.28"/>
    <n v="21.49"/>
    <x v="4"/>
    <x v="3"/>
    <n v="2"/>
    <n v="2.8"/>
    <x v="0"/>
    <n v="17.67025840775398"/>
    <x v="0"/>
  </r>
  <r>
    <x v="7"/>
    <x v="6"/>
    <x v="0"/>
    <n v="102.65"/>
    <n v="19.55"/>
    <x v="3"/>
    <x v="0"/>
    <n v="1"/>
    <n v="1.3"/>
    <x v="1"/>
    <n v="18.553628408784363"/>
    <x v="1"/>
  </r>
  <r>
    <x v="8"/>
    <x v="7"/>
    <x v="1"/>
    <n v="91.47"/>
    <n v="16.39"/>
    <x v="2"/>
    <x v="0"/>
    <n v="3"/>
    <n v="0.8"/>
    <x v="3"/>
    <n v="19.589420799631078"/>
    <x v="1"/>
  </r>
  <r>
    <x v="9"/>
    <x v="8"/>
    <x v="0"/>
    <n v="111.89"/>
    <n v="17.95"/>
    <x v="0"/>
    <x v="2"/>
    <n v="0"/>
    <n v="0.8"/>
    <x v="1"/>
    <n v="14.337779767724934"/>
    <x v="0"/>
  </r>
  <r>
    <x v="10"/>
    <x v="9"/>
    <x v="1"/>
    <n v="96.25"/>
    <n v="13.5"/>
    <x v="2"/>
    <x v="4"/>
    <n v="0"/>
    <n v="0.6"/>
    <x v="4"/>
    <n v="14.572440546466519"/>
    <x v="0"/>
  </r>
  <r>
    <x v="11"/>
    <x v="10"/>
    <x v="0"/>
    <n v="96.02"/>
    <n v="16.55"/>
    <x v="3"/>
    <x v="3"/>
    <n v="2"/>
    <n v="1"/>
    <x v="3"/>
    <n v="17.950419185130364"/>
    <x v="0"/>
  </r>
  <r>
    <x v="12"/>
    <x v="1"/>
    <x v="1"/>
    <n v="97.37"/>
    <n v="15.55"/>
    <x v="1"/>
    <x v="1"/>
    <n v="2"/>
    <n v="1.3"/>
    <x v="2"/>
    <n v="16.401367255945466"/>
    <x v="0"/>
  </r>
  <r>
    <x v="13"/>
    <x v="11"/>
    <x v="1"/>
    <n v="108.39"/>
    <n v="20.100000000000001"/>
    <x v="1"/>
    <x v="0"/>
    <n v="3"/>
    <n v="0.6"/>
    <x v="2"/>
    <n v="17.108724180222072"/>
    <x v="0"/>
  </r>
  <r>
    <x v="14"/>
    <x v="9"/>
    <x v="1"/>
    <n v="92.58"/>
    <n v="15.13"/>
    <x v="3"/>
    <x v="0"/>
    <n v="2"/>
    <n v="1.6"/>
    <x v="1"/>
    <n v="17.652433135313405"/>
    <x v="0"/>
  </r>
  <r>
    <x v="15"/>
    <x v="12"/>
    <x v="1"/>
    <n v="99.65"/>
    <n v="16.940000000000001"/>
    <x v="0"/>
    <x v="2"/>
    <n v="3"/>
    <n v="2.1"/>
    <x v="1"/>
    <n v="17.059205462973896"/>
    <x v="0"/>
  </r>
  <r>
    <x v="16"/>
    <x v="12"/>
    <x v="0"/>
    <n v="98.91"/>
    <n v="19.489999999999998"/>
    <x v="1"/>
    <x v="3"/>
    <n v="3"/>
    <n v="3.1"/>
    <x v="1"/>
    <n v="19.92193117497148"/>
    <x v="1"/>
  </r>
  <r>
    <x v="17"/>
    <x v="9"/>
    <x v="0"/>
    <n v="96.42"/>
    <n v="14.69"/>
    <x v="0"/>
    <x v="2"/>
    <n v="2"/>
    <n v="1.2"/>
    <x v="3"/>
    <n v="15.801108000799067"/>
    <x v="0"/>
  </r>
  <r>
    <x v="18"/>
    <x v="13"/>
    <x v="0"/>
    <n v="109.26"/>
    <n v="20.61"/>
    <x v="2"/>
    <x v="0"/>
    <n v="1"/>
    <n v="2"/>
    <x v="2"/>
    <n v="17.264563375422682"/>
    <x v="0"/>
  </r>
  <r>
    <x v="19"/>
    <x v="1"/>
    <x v="1"/>
    <n v="98.22"/>
    <n v="15.49"/>
    <x v="0"/>
    <x v="0"/>
    <n v="0"/>
    <n v="0.8"/>
    <x v="1"/>
    <n v="16.056524938447225"/>
    <x v="0"/>
  </r>
  <r>
    <x v="20"/>
    <x v="2"/>
    <x v="0"/>
    <n v="101.02"/>
    <n v="16.760000000000002"/>
    <x v="2"/>
    <x v="0"/>
    <n v="2"/>
    <n v="1.9"/>
    <x v="0"/>
    <n v="16.423256883921791"/>
    <x v="0"/>
  </r>
  <r>
    <x v="21"/>
    <x v="14"/>
    <x v="1"/>
    <n v="111.44"/>
    <n v="21.87"/>
    <x v="4"/>
    <x v="1"/>
    <n v="2"/>
    <n v="1.9"/>
    <x v="2"/>
    <n v="17.610292772445963"/>
    <x v="0"/>
  </r>
  <r>
    <x v="22"/>
    <x v="15"/>
    <x v="1"/>
    <n v="103.85"/>
    <n v="19.47"/>
    <x v="3"/>
    <x v="4"/>
    <n v="3"/>
    <n v="2.9"/>
    <x v="2"/>
    <n v="18.053148301698982"/>
    <x v="0"/>
  </r>
  <r>
    <x v="23"/>
    <x v="2"/>
    <x v="0"/>
    <n v="102.67"/>
    <n v="13.79"/>
    <x v="4"/>
    <x v="1"/>
    <n v="1"/>
    <n v="2"/>
    <x v="1"/>
    <n v="13.082090287312587"/>
    <x v="0"/>
  </r>
  <r>
    <x v="24"/>
    <x v="6"/>
    <x v="1"/>
    <n v="107.91"/>
    <n v="19.27"/>
    <x v="4"/>
    <x v="3"/>
    <n v="0"/>
    <n v="0.8"/>
    <x v="2"/>
    <n v="16.548488389191526"/>
    <x v="0"/>
  </r>
  <r>
    <x v="25"/>
    <x v="16"/>
    <x v="0"/>
    <n v="96.67"/>
    <n v="15.72"/>
    <x v="2"/>
    <x v="1"/>
    <n v="2"/>
    <n v="1.2"/>
    <x v="3"/>
    <n v="16.821669829165565"/>
    <x v="0"/>
  </r>
  <r>
    <x v="26"/>
    <x v="2"/>
    <x v="1"/>
    <n v="101.41"/>
    <n v="19.45"/>
    <x v="1"/>
    <x v="4"/>
    <n v="2"/>
    <n v="1.9"/>
    <x v="0"/>
    <n v="18.912896252767929"/>
    <x v="1"/>
  </r>
  <r>
    <x v="27"/>
    <x v="10"/>
    <x v="0"/>
    <n v="102.28"/>
    <n v="11.75"/>
    <x v="3"/>
    <x v="1"/>
    <n v="1"/>
    <n v="1.3"/>
    <x v="2"/>
    <n v="11.23198275256877"/>
    <x v="0"/>
  </r>
  <r>
    <x v="28"/>
    <x v="15"/>
    <x v="1"/>
    <n v="105.06"/>
    <n v="17.260000000000002"/>
    <x v="4"/>
    <x v="1"/>
    <n v="2"/>
    <n v="0.8"/>
    <x v="1"/>
    <n v="15.637452318001349"/>
    <x v="0"/>
  </r>
  <r>
    <x v="29"/>
    <x v="17"/>
    <x v="1"/>
    <n v="103.22"/>
    <n v="20.74"/>
    <x v="3"/>
    <x v="0"/>
    <n v="3"/>
    <n v="2.1"/>
    <x v="0"/>
    <n v="19.466193791459283"/>
    <x v="1"/>
  </r>
  <r>
    <x v="30"/>
    <x v="15"/>
    <x v="0"/>
    <n v="105.42"/>
    <n v="20.23"/>
    <x v="4"/>
    <x v="3"/>
    <n v="2"/>
    <n v="2.2999999999999998"/>
    <x v="4"/>
    <n v="18.203288786295403"/>
    <x v="0"/>
  </r>
  <r>
    <x v="31"/>
    <x v="10"/>
    <x v="1"/>
    <n v="97.29"/>
    <n v="12.89"/>
    <x v="4"/>
    <x v="0"/>
    <n v="2"/>
    <n v="1.3"/>
    <x v="1"/>
    <n v="13.618099737124188"/>
    <x v="0"/>
  </r>
  <r>
    <x v="32"/>
    <x v="15"/>
    <x v="1"/>
    <n v="106.22"/>
    <n v="19.48"/>
    <x v="4"/>
    <x v="2"/>
    <n v="0"/>
    <n v="0.7"/>
    <x v="0"/>
    <n v="17.26538862847617"/>
    <x v="0"/>
  </r>
  <r>
    <x v="33"/>
    <x v="14"/>
    <x v="0"/>
    <n v="114.63"/>
    <n v="20.11"/>
    <x v="3"/>
    <x v="1"/>
    <n v="0"/>
    <n v="0.8"/>
    <x v="4"/>
    <n v="15.304371025015923"/>
    <x v="0"/>
  </r>
  <r>
    <x v="34"/>
    <x v="16"/>
    <x v="0"/>
    <n v="93.15"/>
    <n v="14.24"/>
    <x v="0"/>
    <x v="1"/>
    <n v="2"/>
    <n v="1.3"/>
    <x v="1"/>
    <n v="16.411348608910586"/>
    <x v="0"/>
  </r>
  <r>
    <x v="35"/>
    <x v="8"/>
    <x v="0"/>
    <n v="102.36"/>
    <n v="19.600000000000001"/>
    <x v="0"/>
    <x v="0"/>
    <n v="0"/>
    <n v="0.9"/>
    <x v="4"/>
    <n v="18.706628300517327"/>
    <x v="1"/>
  </r>
  <r>
    <x v="36"/>
    <x v="17"/>
    <x v="0"/>
    <n v="105.34"/>
    <n v="14.14"/>
    <x v="4"/>
    <x v="2"/>
    <n v="0"/>
    <n v="0.8"/>
    <x v="2"/>
    <n v="12.742738810730817"/>
    <x v="0"/>
  </r>
  <r>
    <x v="37"/>
    <x v="18"/>
    <x v="0"/>
    <n v="96.26"/>
    <n v="17.63"/>
    <x v="2"/>
    <x v="2"/>
    <n v="2"/>
    <n v="1.7"/>
    <x v="2"/>
    <n v="19.026574134418222"/>
    <x v="1"/>
  </r>
  <r>
    <x v="38"/>
    <x v="7"/>
    <x v="1"/>
    <n v="97.25"/>
    <n v="14.98"/>
    <x v="2"/>
    <x v="4"/>
    <n v="3"/>
    <n v="3.2"/>
    <x v="1"/>
    <n v="15.839176320537135"/>
    <x v="0"/>
  </r>
  <r>
    <x v="39"/>
    <x v="19"/>
    <x v="1"/>
    <n v="108.23"/>
    <n v="21"/>
    <x v="2"/>
    <x v="4"/>
    <n v="0"/>
    <n v="0.6"/>
    <x v="1"/>
    <n v="17.927675301525785"/>
    <x v="0"/>
  </r>
  <r>
    <x v="40"/>
    <x v="20"/>
    <x v="1"/>
    <n v="97"/>
    <n v="15.12"/>
    <x v="4"/>
    <x v="3"/>
    <n v="1"/>
    <n v="1.7"/>
    <x v="3"/>
    <n v="16.069720480391116"/>
    <x v="0"/>
  </r>
  <r>
    <x v="41"/>
    <x v="21"/>
    <x v="1"/>
    <n v="107.27"/>
    <n v="22.7"/>
    <x v="4"/>
    <x v="3"/>
    <n v="0"/>
    <n v="0.8"/>
    <x v="0"/>
    <n v="19.727374806364303"/>
    <x v="1"/>
  </r>
  <r>
    <x v="42"/>
    <x v="22"/>
    <x v="1"/>
    <n v="112.46"/>
    <n v="21.36"/>
    <x v="3"/>
    <x v="3"/>
    <n v="1"/>
    <n v="1"/>
    <x v="1"/>
    <n v="16.889044889405064"/>
    <x v="0"/>
  </r>
  <r>
    <x v="43"/>
    <x v="23"/>
    <x v="1"/>
    <n v="103.32"/>
    <n v="17.41"/>
    <x v="0"/>
    <x v="3"/>
    <n v="2"/>
    <n v="2"/>
    <x v="2"/>
    <n v="16.309099267089127"/>
    <x v="0"/>
  </r>
  <r>
    <x v="44"/>
    <x v="6"/>
    <x v="0"/>
    <n v="107.31"/>
    <n v="17.34"/>
    <x v="0"/>
    <x v="2"/>
    <n v="0"/>
    <n v="0.5"/>
    <x v="3"/>
    <n v="15.058048908803379"/>
    <x v="0"/>
  </r>
  <r>
    <x v="45"/>
    <x v="1"/>
    <x v="1"/>
    <n v="99.12"/>
    <n v="17.43"/>
    <x v="2"/>
    <x v="4"/>
    <n v="3"/>
    <n v="1.6"/>
    <x v="0"/>
    <n v="17.740865378038603"/>
    <x v="0"/>
  </r>
  <r>
    <x v="46"/>
    <x v="20"/>
    <x v="1"/>
    <n v="93.16"/>
    <n v="15.53"/>
    <x v="3"/>
    <x v="0"/>
    <n v="0"/>
    <n v="0.8"/>
    <x v="1"/>
    <n v="17.89420860909388"/>
    <x v="0"/>
  </r>
  <r>
    <x v="47"/>
    <x v="24"/>
    <x v="1"/>
    <n v="111.49"/>
    <n v="20.23"/>
    <x v="0"/>
    <x v="3"/>
    <n v="1"/>
    <n v="1.6"/>
    <x v="3"/>
    <n v="16.27511447065158"/>
    <x v="0"/>
  </r>
  <r>
    <x v="48"/>
    <x v="25"/>
    <x v="0"/>
    <n v="108.71"/>
    <n v="16.2"/>
    <x v="3"/>
    <x v="1"/>
    <n v="3"/>
    <n v="1.1000000000000001"/>
    <x v="3"/>
    <n v="13.708060833090812"/>
    <x v="0"/>
  </r>
  <r>
    <x v="49"/>
    <x v="26"/>
    <x v="0"/>
    <n v="97.21"/>
    <n v="13.41"/>
    <x v="4"/>
    <x v="2"/>
    <n v="1"/>
    <n v="0.9"/>
    <x v="1"/>
    <n v="14.190800401461026"/>
    <x v="0"/>
  </r>
  <r>
    <x v="50"/>
    <x v="1"/>
    <x v="0"/>
    <n v="98.46"/>
    <n v="15.38"/>
    <x v="2"/>
    <x v="0"/>
    <n v="2"/>
    <n v="1.2"/>
    <x v="0"/>
    <n v="15.864875656303504"/>
    <x v="0"/>
  </r>
  <r>
    <x v="51"/>
    <x v="23"/>
    <x v="0"/>
    <n v="100.6"/>
    <n v="17.309999999999999"/>
    <x v="1"/>
    <x v="2"/>
    <n v="0"/>
    <n v="0.6"/>
    <x v="4"/>
    <n v="17.104134635526798"/>
    <x v="0"/>
  </r>
  <r>
    <x v="52"/>
    <x v="3"/>
    <x v="0"/>
    <n v="96.54"/>
    <n v="18.239999999999998"/>
    <x v="4"/>
    <x v="2"/>
    <n v="1"/>
    <n v="1.9"/>
    <x v="4"/>
    <n v="19.570875087215928"/>
    <x v="1"/>
  </r>
  <r>
    <x v="53"/>
    <x v="13"/>
    <x v="1"/>
    <n v="110.58"/>
    <n v="21.99"/>
    <x v="2"/>
    <x v="3"/>
    <n v="0"/>
    <n v="0.9"/>
    <x v="0"/>
    <n v="17.983410512341237"/>
    <x v="0"/>
  </r>
  <r>
    <x v="54"/>
    <x v="27"/>
    <x v="0"/>
    <n v="114.47"/>
    <n v="18.010000000000002"/>
    <x v="0"/>
    <x v="2"/>
    <n v="0"/>
    <n v="0.6"/>
    <x v="3"/>
    <n v="13.744544356487417"/>
    <x v="0"/>
  </r>
  <r>
    <x v="55"/>
    <x v="18"/>
    <x v="0"/>
    <n v="96.28"/>
    <n v="16.84"/>
    <x v="4"/>
    <x v="0"/>
    <n v="3"/>
    <n v="0.5"/>
    <x v="2"/>
    <n v="18.166443980296357"/>
    <x v="0"/>
  </r>
  <r>
    <x v="56"/>
    <x v="8"/>
    <x v="0"/>
    <n v="104.76"/>
    <n v="18.399999999999999"/>
    <x v="4"/>
    <x v="0"/>
    <n v="1"/>
    <n v="0.7"/>
    <x v="0"/>
    <n v="16.765898919707524"/>
    <x v="0"/>
  </r>
  <r>
    <x v="57"/>
    <x v="25"/>
    <x v="1"/>
    <n v="105.35"/>
    <n v="19.88"/>
    <x v="0"/>
    <x v="0"/>
    <n v="2"/>
    <n v="2.8"/>
    <x v="2"/>
    <n v="17.912132789452027"/>
    <x v="0"/>
  </r>
  <r>
    <x v="58"/>
    <x v="28"/>
    <x v="1"/>
    <n v="110.75"/>
    <n v="24.56"/>
    <x v="4"/>
    <x v="4"/>
    <n v="1"/>
    <n v="1.7"/>
    <x v="0"/>
    <n v="20.023541521230683"/>
    <x v="1"/>
  </r>
  <r>
    <x v="59"/>
    <x v="14"/>
    <x v="1"/>
    <n v="108"/>
    <n v="22.24"/>
    <x v="3"/>
    <x v="4"/>
    <n v="2"/>
    <n v="1.1000000000000001"/>
    <x v="1"/>
    <n v="19.067215363511657"/>
    <x v="1"/>
  </r>
  <r>
    <x v="60"/>
    <x v="10"/>
    <x v="0"/>
    <n v="98.63"/>
    <n v="17.96"/>
    <x v="1"/>
    <x v="3"/>
    <n v="2"/>
    <n v="2.6"/>
    <x v="3"/>
    <n v="18.462404679483562"/>
    <x v="0"/>
  </r>
  <r>
    <x v="61"/>
    <x v="0"/>
    <x v="0"/>
    <n v="103.57"/>
    <n v="22.13"/>
    <x v="2"/>
    <x v="0"/>
    <n v="0"/>
    <n v="0.6"/>
    <x v="0"/>
    <n v="20.630676133633052"/>
    <x v="1"/>
  </r>
  <r>
    <x v="62"/>
    <x v="7"/>
    <x v="1"/>
    <n v="92.72"/>
    <n v="15.7"/>
    <x v="4"/>
    <x v="3"/>
    <n v="1"/>
    <n v="0.5"/>
    <x v="3"/>
    <n v="18.26218788176115"/>
    <x v="0"/>
  </r>
  <r>
    <x v="63"/>
    <x v="14"/>
    <x v="1"/>
    <n v="113.3"/>
    <n v="20.45"/>
    <x v="3"/>
    <x v="0"/>
    <n v="2"/>
    <n v="0.5"/>
    <x v="4"/>
    <n v="15.930649869244029"/>
    <x v="0"/>
  </r>
  <r>
    <x v="64"/>
    <x v="12"/>
    <x v="1"/>
    <n v="104.84"/>
    <n v="19.829999999999998"/>
    <x v="4"/>
    <x v="3"/>
    <n v="0"/>
    <n v="0.8"/>
    <x v="3"/>
    <n v="18.041335784504604"/>
    <x v="0"/>
  </r>
  <r>
    <x v="65"/>
    <x v="27"/>
    <x v="0"/>
    <n v="104.56"/>
    <n v="21.62"/>
    <x v="4"/>
    <x v="1"/>
    <n v="1"/>
    <n v="2"/>
    <x v="0"/>
    <n v="19.775366471749727"/>
    <x v="1"/>
  </r>
  <r>
    <x v="66"/>
    <x v="20"/>
    <x v="1"/>
    <n v="97.32"/>
    <n v="16.28"/>
    <x v="3"/>
    <x v="4"/>
    <n v="0"/>
    <n v="0.8"/>
    <x v="0"/>
    <n v="17.188983711262917"/>
    <x v="0"/>
  </r>
  <r>
    <x v="67"/>
    <x v="10"/>
    <x v="0"/>
    <n v="103.58"/>
    <n v="15.12"/>
    <x v="4"/>
    <x v="3"/>
    <n v="2"/>
    <n v="1.8"/>
    <x v="2"/>
    <n v="14.092887263873765"/>
    <x v="0"/>
  </r>
  <r>
    <x v="68"/>
    <x v="29"/>
    <x v="1"/>
    <n v="105.92"/>
    <n v="22.98"/>
    <x v="3"/>
    <x v="3"/>
    <n v="0"/>
    <n v="0.8"/>
    <x v="4"/>
    <n v="20.483024296966988"/>
    <x v="1"/>
  </r>
  <r>
    <x v="69"/>
    <x v="30"/>
    <x v="1"/>
    <n v="104.76"/>
    <n v="13.89"/>
    <x v="2"/>
    <x v="4"/>
    <n v="0"/>
    <n v="0.5"/>
    <x v="2"/>
    <n v="12.656431304061822"/>
    <x v="0"/>
  </r>
  <r>
    <x v="70"/>
    <x v="11"/>
    <x v="1"/>
    <n v="108.22"/>
    <n v="19.55"/>
    <x v="0"/>
    <x v="1"/>
    <n v="2"/>
    <n v="1.6"/>
    <x v="2"/>
    <n v="16.692896572247317"/>
    <x v="0"/>
  </r>
  <r>
    <x v="71"/>
    <x v="10"/>
    <x v="0"/>
    <n v="97.69"/>
    <n v="18.04"/>
    <x v="2"/>
    <x v="0"/>
    <n v="2"/>
    <n v="2.2000000000000002"/>
    <x v="0"/>
    <n v="18.903242860743426"/>
    <x v="1"/>
  </r>
  <r>
    <x v="72"/>
    <x v="6"/>
    <x v="0"/>
    <n v="104.99"/>
    <n v="22.77"/>
    <x v="2"/>
    <x v="0"/>
    <n v="1"/>
    <n v="1.1000000000000001"/>
    <x v="1"/>
    <n v="20.656995702972939"/>
    <x v="1"/>
  </r>
  <r>
    <x v="73"/>
    <x v="9"/>
    <x v="1"/>
    <n v="88.93"/>
    <n v="15.5"/>
    <x v="2"/>
    <x v="3"/>
    <n v="3"/>
    <n v="3.8"/>
    <x v="1"/>
    <n v="19.59905418252098"/>
    <x v="1"/>
  </r>
  <r>
    <x v="74"/>
    <x v="31"/>
    <x v="0"/>
    <n v="105.5"/>
    <n v="20.18"/>
    <x v="0"/>
    <x v="4"/>
    <n v="3"/>
    <n v="1.9"/>
    <x v="3"/>
    <n v="18.130769749107163"/>
    <x v="0"/>
  </r>
  <r>
    <x v="75"/>
    <x v="12"/>
    <x v="1"/>
    <n v="101.47"/>
    <n v="15.96"/>
    <x v="0"/>
    <x v="1"/>
    <n v="0"/>
    <n v="0.8"/>
    <x v="0"/>
    <n v="15.500923261601326"/>
    <x v="0"/>
  </r>
  <r>
    <x v="76"/>
    <x v="15"/>
    <x v="1"/>
    <n v="103.84"/>
    <n v="17.13"/>
    <x v="1"/>
    <x v="4"/>
    <n v="1"/>
    <n v="0.7"/>
    <x v="2"/>
    <n v="15.886491841187462"/>
    <x v="0"/>
  </r>
  <r>
    <x v="77"/>
    <x v="21"/>
    <x v="1"/>
    <n v="103.74"/>
    <n v="18.21"/>
    <x v="0"/>
    <x v="2"/>
    <n v="0"/>
    <n v="0.5"/>
    <x v="2"/>
    <n v="16.920666215969256"/>
    <x v="0"/>
  </r>
  <r>
    <x v="78"/>
    <x v="19"/>
    <x v="1"/>
    <n v="101.32"/>
    <n v="21.93"/>
    <x v="4"/>
    <x v="0"/>
    <n v="2"/>
    <n v="2.8"/>
    <x v="1"/>
    <n v="21.36231277340449"/>
    <x v="1"/>
  </r>
  <r>
    <x v="79"/>
    <x v="22"/>
    <x v="0"/>
    <n v="109.83"/>
    <n v="21.35"/>
    <x v="2"/>
    <x v="0"/>
    <n v="1"/>
    <n v="0.7"/>
    <x v="3"/>
    <n v="17.699292730459444"/>
    <x v="0"/>
  </r>
  <r>
    <x v="80"/>
    <x v="11"/>
    <x v="1"/>
    <n v="112.98"/>
    <n v="18.22"/>
    <x v="2"/>
    <x v="1"/>
    <n v="1"/>
    <n v="1.7"/>
    <x v="0"/>
    <n v="14.273984861929826"/>
    <x v="0"/>
  </r>
  <r>
    <x v="81"/>
    <x v="21"/>
    <x v="0"/>
    <n v="104.87"/>
    <n v="19.66"/>
    <x v="0"/>
    <x v="4"/>
    <n v="2"/>
    <n v="1.1000000000000001"/>
    <x v="4"/>
    <n v="17.876437608609475"/>
    <x v="0"/>
  </r>
  <r>
    <x v="82"/>
    <x v="16"/>
    <x v="1"/>
    <n v="100.81"/>
    <n v="14.39"/>
    <x v="3"/>
    <x v="4"/>
    <n v="2"/>
    <n v="2.6"/>
    <x v="0"/>
    <n v="14.159684100694896"/>
    <x v="0"/>
  </r>
  <r>
    <x v="83"/>
    <x v="32"/>
    <x v="0"/>
    <n v="101.16"/>
    <n v="14.14"/>
    <x v="3"/>
    <x v="0"/>
    <n v="3"/>
    <n v="1.3"/>
    <x v="0"/>
    <n v="13.817573013462967"/>
    <x v="0"/>
  </r>
  <r>
    <x v="84"/>
    <x v="13"/>
    <x v="0"/>
    <n v="115.19"/>
    <n v="20.76"/>
    <x v="0"/>
    <x v="4"/>
    <n v="0"/>
    <n v="1"/>
    <x v="0"/>
    <n v="15.645800657682841"/>
    <x v="0"/>
  </r>
  <r>
    <x v="85"/>
    <x v="14"/>
    <x v="1"/>
    <n v="110.72"/>
    <n v="20.149999999999999"/>
    <x v="1"/>
    <x v="1"/>
    <n v="1"/>
    <n v="2"/>
    <x v="4"/>
    <n v="16.43701290971967"/>
    <x v="0"/>
  </r>
  <r>
    <x v="86"/>
    <x v="14"/>
    <x v="0"/>
    <n v="106.73"/>
    <n v="24.09"/>
    <x v="1"/>
    <x v="1"/>
    <n v="3"/>
    <n v="1.7"/>
    <x v="4"/>
    <n v="21.147731176326783"/>
    <x v="1"/>
  </r>
  <r>
    <x v="87"/>
    <x v="9"/>
    <x v="0"/>
    <n v="99.72"/>
    <n v="14.9"/>
    <x v="4"/>
    <x v="0"/>
    <n v="3"/>
    <n v="2.2000000000000002"/>
    <x v="1"/>
    <n v="14.983791760933824"/>
    <x v="0"/>
  </r>
  <r>
    <x v="88"/>
    <x v="16"/>
    <x v="0"/>
    <n v="96.45"/>
    <n v="14.77"/>
    <x v="4"/>
    <x v="0"/>
    <n v="0"/>
    <n v="0.6"/>
    <x v="3"/>
    <n v="15.877277353299789"/>
    <x v="0"/>
  </r>
  <r>
    <x v="89"/>
    <x v="29"/>
    <x v="1"/>
    <n v="106.44"/>
    <n v="20.73"/>
    <x v="4"/>
    <x v="2"/>
    <n v="2"/>
    <n v="2"/>
    <x v="0"/>
    <n v="18.29740792193558"/>
    <x v="0"/>
  </r>
  <r>
    <x v="90"/>
    <x v="32"/>
    <x v="0"/>
    <n v="97.77"/>
    <n v="15.72"/>
    <x v="3"/>
    <x v="3"/>
    <n v="0"/>
    <n v="0.9"/>
    <x v="0"/>
    <n v="16.445281479979926"/>
    <x v="0"/>
  </r>
  <r>
    <x v="91"/>
    <x v="33"/>
    <x v="1"/>
    <n v="113.49"/>
    <n v="25.26"/>
    <x v="1"/>
    <x v="4"/>
    <n v="3"/>
    <n v="3"/>
    <x v="4"/>
    <n v="19.611831543124822"/>
    <x v="1"/>
  </r>
  <r>
    <x v="92"/>
    <x v="4"/>
    <x v="1"/>
    <n v="92.08"/>
    <n v="15.29"/>
    <x v="4"/>
    <x v="1"/>
    <n v="2"/>
    <n v="2.6"/>
    <x v="2"/>
    <n v="18.033368785198682"/>
    <x v="0"/>
  </r>
  <r>
    <x v="93"/>
    <x v="9"/>
    <x v="0"/>
    <n v="96.42"/>
    <n v="15.34"/>
    <x v="4"/>
    <x v="2"/>
    <n v="2"/>
    <n v="0.9"/>
    <x v="2"/>
    <n v="16.500272071630885"/>
    <x v="0"/>
  </r>
  <r>
    <x v="94"/>
    <x v="28"/>
    <x v="0"/>
    <n v="108.1"/>
    <n v="19.25"/>
    <x v="0"/>
    <x v="3"/>
    <n v="1"/>
    <n v="1"/>
    <x v="0"/>
    <n v="16.47325214515973"/>
    <x v="0"/>
  </r>
  <r>
    <x v="95"/>
    <x v="27"/>
    <x v="0"/>
    <n v="109.15"/>
    <n v="22.09"/>
    <x v="0"/>
    <x v="4"/>
    <n v="0"/>
    <n v="0.6"/>
    <x v="1"/>
    <n v="18.541643890060385"/>
    <x v="1"/>
  </r>
  <r>
    <x v="96"/>
    <x v="19"/>
    <x v="1"/>
    <n v="107.71"/>
    <n v="19.079999999999998"/>
    <x v="1"/>
    <x v="0"/>
    <n v="2"/>
    <n v="1.8"/>
    <x v="2"/>
    <n v="16.446228448404973"/>
    <x v="0"/>
  </r>
  <r>
    <x v="97"/>
    <x v="13"/>
    <x v="1"/>
    <n v="112.41"/>
    <n v="21.55"/>
    <x v="3"/>
    <x v="4"/>
    <n v="0"/>
    <n v="0.9"/>
    <x v="0"/>
    <n v="17.054436677671966"/>
    <x v="0"/>
  </r>
  <r>
    <x v="98"/>
    <x v="21"/>
    <x v="1"/>
    <n v="110.12"/>
    <n v="18.510000000000002"/>
    <x v="1"/>
    <x v="0"/>
    <n v="0"/>
    <n v="0.9"/>
    <x v="3"/>
    <n v="15.264198789050129"/>
    <x v="0"/>
  </r>
  <r>
    <x v="99"/>
    <x v="11"/>
    <x v="1"/>
    <n v="106.6"/>
    <n v="21.21"/>
    <x v="1"/>
    <x v="3"/>
    <n v="2"/>
    <n v="2.5"/>
    <x v="3"/>
    <n v="18.6649254282988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65949-6BB4-469B-A9DB-45645751649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C4" firstHeaderRow="1" firstDataRow="1" firstDataCol="0"/>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items count="3">
        <item x="1"/>
        <item x="0"/>
        <item t="default"/>
      </items>
    </pivotField>
  </pivotFields>
  <rowItems count="1">
    <i/>
  </rowItems>
  <colItems count="1">
    <i/>
  </colItems>
  <dataFields count="1">
    <dataField name="Average of BMI" fld="10"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D7E80-45AF-4EE3-B771-63950C9B51F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dataField="1" showAll="0"/>
    <pivotField showAll="0">
      <items count="6">
        <item x="1"/>
        <item x="2"/>
        <item x="3"/>
        <item x="0"/>
        <item x="4"/>
        <item t="default"/>
      </items>
    </pivotField>
    <pivotField numFmtId="2" showAll="0"/>
    <pivotField showAll="0">
      <items count="3">
        <item x="1"/>
        <item x="0"/>
        <item t="default"/>
      </items>
    </pivotField>
  </pivotFields>
  <rowItems count="1">
    <i/>
  </rowItems>
  <colItems count="1">
    <i/>
  </colItems>
  <dataFields count="1">
    <dataField name="Average of ScreenTime_Hours" fld="8"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7229B-B2CB-4C57-8850-15705AEC095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4:L20" firstHeaderRow="1"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s>
  <rowFields count="1">
    <field x="9"/>
  </rowFields>
  <rowItems count="6">
    <i>
      <x/>
    </i>
    <i>
      <x v="1"/>
    </i>
    <i>
      <x v="2"/>
    </i>
    <i>
      <x v="3"/>
    </i>
    <i>
      <x v="4"/>
    </i>
    <i t="grand">
      <x/>
    </i>
  </rowItems>
  <colItems count="1">
    <i/>
  </colItems>
  <dataFields count="1">
    <dataField name="Average of BMI" fld="10" subtotal="average" baseField="9" baseItem="0" numFmtId="2"/>
  </dataFields>
  <formats count="1">
    <format dxfId="1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9" count="1" selected="0">
            <x v="0"/>
          </reference>
        </references>
      </pivotArea>
    </chartFormat>
    <chartFormat chart="9" format="9">
      <pivotArea type="data" outline="0" fieldPosition="0">
        <references count="2">
          <reference field="4294967294" count="1" selected="0">
            <x v="0"/>
          </reference>
          <reference field="9" count="1" selected="0">
            <x v="1"/>
          </reference>
        </references>
      </pivotArea>
    </chartFormat>
    <chartFormat chart="9" format="10">
      <pivotArea type="data" outline="0" fieldPosition="0">
        <references count="2">
          <reference field="4294967294" count="1" selected="0">
            <x v="0"/>
          </reference>
          <reference field="9" count="1" selected="0">
            <x v="2"/>
          </reference>
        </references>
      </pivotArea>
    </chartFormat>
    <chartFormat chart="9" format="11">
      <pivotArea type="data" outline="0" fieldPosition="0">
        <references count="2">
          <reference field="4294967294" count="1" selected="0">
            <x v="0"/>
          </reference>
          <reference field="9" count="1" selected="0">
            <x v="3"/>
          </reference>
        </references>
      </pivotArea>
    </chartFormat>
    <chartFormat chart="9"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2A811-8987-4E40-A161-637D9EAB75C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G20" firstHeaderRow="0"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dataField="1" showAll="0">
      <items count="6">
        <item x="1"/>
        <item x="0"/>
        <item x="3"/>
        <item x="2"/>
        <item x="4"/>
        <item t="default"/>
      </items>
    </pivotField>
    <pivotField showAll="0">
      <items count="6">
        <item x="3"/>
        <item x="1"/>
        <item x="0"/>
        <item x="2"/>
        <item x="4"/>
        <item t="default"/>
      </items>
    </pivotField>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numFmtId="2"/>
    <dataField name="Average of Daily_Fruit_Servings" fld="5" subtotal="average" baseField="9"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640746-DB91-43AE-B5F4-B5D221BC83F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T6" firstHeaderRow="0"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showAll="0">
      <items count="6">
        <item x="1"/>
        <item x="0"/>
        <item x="3"/>
        <item x="2"/>
        <item x="4"/>
        <item t="default"/>
      </items>
    </pivotField>
    <pivotField showAll="0">
      <items count="6">
        <item x="3"/>
        <item x="1"/>
        <item x="0"/>
        <item x="2"/>
        <item x="4"/>
        <item t="default"/>
      </items>
    </pivotField>
    <pivotField dataField="1" showAll="0"/>
    <pivotField dataField="1" showAll="0"/>
    <pivotField showAll="0">
      <items count="6">
        <item x="1"/>
        <item x="2"/>
        <item x="3"/>
        <item x="0"/>
        <item x="4"/>
        <item t="default"/>
      </items>
    </pivotField>
    <pivotField numFmtId="2" showAll="0"/>
    <pivotField axis="axisRow"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0" baseItem="1"/>
    <dataField name="Average of ScreenTime_Hours" fld="8" subtotal="average" baseField="0" baseItem="1"/>
  </dataFields>
  <formats count="3">
    <format dxfId="13">
      <pivotArea outline="0" collapsedLevelsAreSubtotals="1" fieldPosition="0"/>
    </format>
    <format dxfId="5">
      <pivotArea dataOnly="0" labelOnly="1" outline="0" fieldPosition="0">
        <references count="1">
          <reference field="4294967294" count="1">
            <x v="0"/>
          </reference>
        </references>
      </pivotArea>
    </format>
    <format dxfId="1">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5C036E-6126-44BE-8B0C-B6CFE5C16BB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P10" firstHeaderRow="1" firstDataRow="2"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6">
        <item x="0"/>
        <item x="1"/>
        <item x="2"/>
        <item x="3"/>
        <item x="4"/>
        <item t="default"/>
      </items>
    </pivotField>
    <pivotField showAll="0">
      <items count="3">
        <item x="0"/>
        <item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items count="3">
        <item x="1"/>
        <item x="0"/>
        <item t="default"/>
      </items>
    </pivotField>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chartFormats count="5">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6EE52-6617-4004-8527-A4A8B37ACB8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H8" firstHeaderRow="1" firstDataRow="2" firstDataCol="1"/>
  <pivotFields count="1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6">
        <item x="0"/>
        <item x="1"/>
        <item x="2"/>
        <item x="3"/>
        <item x="4"/>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2" showAll="0"/>
    <pivotField axis="axisCol" showAll="0">
      <items count="3">
        <item x="1"/>
        <item x="0"/>
        <item t="default"/>
      </items>
    </pivotField>
  </pivotFields>
  <rowFields count="1">
    <field x="1"/>
  </rowFields>
  <rowItems count="4">
    <i>
      <x v="1"/>
    </i>
    <i>
      <x v="2"/>
    </i>
    <i>
      <x v="3"/>
    </i>
    <i t="grand">
      <x/>
    </i>
  </rowItems>
  <colFields count="1">
    <field x="11"/>
  </colFields>
  <colItems count="3">
    <i>
      <x/>
    </i>
    <i>
      <x v="1"/>
    </i>
    <i t="grand">
      <x/>
    </i>
  </colItems>
  <dataFields count="1">
    <dataField name="Count of ChildID" fld="0"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69F84D-4947-4411-8A92-269DE2BCFF4B}"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882427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4DDADB-A20B-46E1-99C9-76F88743CD0B}"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88242744">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D9A718B7-5E15-48B7-BF21-297D6BB91109}" sourceName="Health Status">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882427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71DD4B-67EC-4F7F-9B61-4448F93A5B1C}" cache="Slicer_Gender" caption="Gender" rowHeight="244336"/>
  <slicer name="Region" xr10:uid="{97FFBD65-5B43-4BF5-B05F-58F6E57CBB27}" cache="Slicer_Region" caption="Region" rowHeight="244336"/>
  <slicer name="Health Status" xr10:uid="{35E9ABB7-1AEA-46A4-BF01-E351CA98A7BF}" cache="Slicer_Health_Status" caption="Health Status"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F8598-F173-4E0B-8F3F-3DD178DC3841}" name="Table1" displayName="Table1" ref="A1:L101" totalsRowShown="0">
  <autoFilter ref="A1:L101" xr:uid="{C33F8598-F173-4E0B-8F3F-3DD178DC3841}"/>
  <tableColumns count="12">
    <tableColumn id="1" xr3:uid="{EA287502-038C-45FB-8673-FCD617854CBB}" name="ChildID"/>
    <tableColumn id="2" xr3:uid="{B27C102D-F14C-487C-B565-18F9D0194F6E}" name="Age_Months"/>
    <tableColumn id="3" xr3:uid="{E01DAEEC-876E-45D9-8CD6-51FAE32B0CAE}" name="Gender"/>
    <tableColumn id="4" xr3:uid="{C078CA80-0B19-4C70-B6AC-D30943995E4F}" name="Height_cm"/>
    <tableColumn id="5" xr3:uid="{2E8E7D0C-E559-43F0-8A79-F2045A856D95}" name="Weight_kg"/>
    <tableColumn id="6" xr3:uid="{FD4603A9-0756-46F3-9C0A-269920D4F272}" name="Daily_Fruit_Servings"/>
    <tableColumn id="7" xr3:uid="{60EF28DC-3C94-4E5A-9FD6-A5D5F5CE09E4}" name="Daily_Veggie_Servings"/>
    <tableColumn id="8" xr3:uid="{B8285084-7381-4CD8-864A-C04C4ACCD4FA}" name="Daily_Sugar_Drinks"/>
    <tableColumn id="9" xr3:uid="{1EF6E516-543E-4EB1-98DB-730832774477}" name="ScreenTime_Hours"/>
    <tableColumn id="10" xr3:uid="{4B81C398-D732-43C7-B532-96CEF9A30141}" name="Region"/>
    <tableColumn id="11" xr3:uid="{ABC4DB88-7850-4446-A575-8101EEC64F82}" name="BMI" dataDxfId="15">
      <calculatedColumnFormula>Table1[[#This Row],[Weight_kg]]/((Table1[[#This Row],[Height_cm]]/100)^2)</calculatedColumnFormula>
    </tableColumn>
    <tableColumn id="12" xr3:uid="{C2D8DB7B-0CB6-4AB4-A0A2-4A6BF04D2D4B}" name="Health Status" dataDxfId="14">
      <calculatedColumnFormula>IF(Table1[[#This Row],[BMI]]&lt;18.5,"Under Weight",IF(Table1[[#This Row],[BMI]]&lt;24.5,"Healthy Weight",IF(Table1[[#This Row],[BMI]]&lt;=29.9,"Over weight","Obese")))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0295-5938-48ED-B7C5-52904357ECD5}">
  <dimension ref="A2:T20"/>
  <sheetViews>
    <sheetView workbookViewId="0">
      <selection activeCell="T14" sqref="T14"/>
    </sheetView>
  </sheetViews>
  <sheetFormatPr defaultRowHeight="15.05" x14ac:dyDescent="0.3"/>
  <cols>
    <col min="1" max="1" width="26.6640625" bestFit="1" customWidth="1"/>
    <col min="2" max="2" width="2.6640625" customWidth="1"/>
    <col min="3" max="3" width="14.109375" bestFit="1" customWidth="1"/>
    <col min="4" max="4" width="5" customWidth="1"/>
    <col min="5" max="8" width="9.33203125" customWidth="1"/>
    <col min="9" max="9" width="3" customWidth="1"/>
    <col min="10" max="10" width="9.6640625" customWidth="1"/>
    <col min="11" max="11" width="11.6640625" customWidth="1"/>
    <col min="12" max="15" width="5.5546875" bestFit="1" customWidth="1"/>
    <col min="16" max="16" width="10.77734375" bestFit="1" customWidth="1"/>
    <col min="17" max="17" width="5" customWidth="1"/>
    <col min="18" max="18" width="13.5546875" bestFit="1" customWidth="1"/>
    <col min="19" max="19" width="11.44140625" customWidth="1"/>
    <col min="20" max="20" width="12.21875" customWidth="1"/>
    <col min="21" max="21" width="15.44140625" bestFit="1" customWidth="1"/>
    <col min="22" max="22" width="12.44140625" bestFit="1" customWidth="1"/>
    <col min="23" max="23" width="14.109375" bestFit="1" customWidth="1"/>
    <col min="24" max="24" width="27.88671875" bestFit="1" customWidth="1"/>
  </cols>
  <sheetData>
    <row r="2" spans="1:20" x14ac:dyDescent="0.3">
      <c r="A2" s="7" t="s">
        <v>133</v>
      </c>
      <c r="B2" s="7"/>
      <c r="C2" s="7"/>
      <c r="E2" s="7" t="s">
        <v>128</v>
      </c>
      <c r="F2" s="7"/>
      <c r="G2" s="7"/>
      <c r="H2" s="7"/>
      <c r="J2" s="6"/>
      <c r="K2" s="6"/>
      <c r="L2" s="6"/>
      <c r="M2" s="6"/>
      <c r="N2" s="6"/>
      <c r="O2" s="6"/>
      <c r="P2" s="6"/>
      <c r="R2" s="6"/>
      <c r="S2" s="6"/>
      <c r="T2" s="6"/>
    </row>
    <row r="3" spans="1:20" ht="39.450000000000003" customHeight="1" x14ac:dyDescent="0.3">
      <c r="A3" t="s">
        <v>132</v>
      </c>
      <c r="C3" t="s">
        <v>130</v>
      </c>
      <c r="E3" s="4" t="s">
        <v>124</v>
      </c>
      <c r="F3" s="4" t="s">
        <v>123</v>
      </c>
      <c r="J3" s="4" t="s">
        <v>130</v>
      </c>
      <c r="K3" s="4" t="s">
        <v>123</v>
      </c>
      <c r="R3" s="4" t="s">
        <v>119</v>
      </c>
      <c r="S3" s="8" t="s">
        <v>131</v>
      </c>
      <c r="T3" s="8" t="s">
        <v>132</v>
      </c>
    </row>
    <row r="4" spans="1:20" hidden="1" x14ac:dyDescent="0.3">
      <c r="A4" s="1">
        <v>1.3919999999999997</v>
      </c>
      <c r="C4" s="1">
        <v>17.05804960612538</v>
      </c>
      <c r="E4" s="4" t="s">
        <v>119</v>
      </c>
      <c r="F4" t="s">
        <v>121</v>
      </c>
      <c r="G4" t="s">
        <v>122</v>
      </c>
      <c r="H4" t="s">
        <v>120</v>
      </c>
      <c r="J4" s="4" t="s">
        <v>119</v>
      </c>
      <c r="K4">
        <v>0</v>
      </c>
      <c r="L4">
        <v>1</v>
      </c>
      <c r="M4">
        <v>2</v>
      </c>
      <c r="N4">
        <v>3</v>
      </c>
      <c r="O4">
        <v>4</v>
      </c>
      <c r="P4" t="s">
        <v>120</v>
      </c>
      <c r="R4" s="5" t="s">
        <v>121</v>
      </c>
      <c r="S4" s="1">
        <v>1.5833333333333333</v>
      </c>
      <c r="T4" s="1">
        <v>1.6875000000000002</v>
      </c>
    </row>
    <row r="5" spans="1:20" x14ac:dyDescent="0.3">
      <c r="E5" s="5" t="s">
        <v>125</v>
      </c>
      <c r="F5" s="3">
        <v>6</v>
      </c>
      <c r="G5" s="3">
        <v>33</v>
      </c>
      <c r="H5" s="3">
        <v>39</v>
      </c>
      <c r="J5" s="5">
        <v>0</v>
      </c>
      <c r="K5" s="1">
        <v>19.016420427584645</v>
      </c>
      <c r="L5" s="1">
        <v>17.280117596560103</v>
      </c>
      <c r="M5" s="1">
        <v>16.27305047255906</v>
      </c>
      <c r="N5" s="1">
        <v>17.104134635526798</v>
      </c>
      <c r="O5" s="1">
        <v>18.137073212360072</v>
      </c>
      <c r="P5" s="1">
        <v>17.566529534524921</v>
      </c>
      <c r="R5" s="5" t="s">
        <v>122</v>
      </c>
      <c r="S5" s="1">
        <v>1.3026315789473684</v>
      </c>
      <c r="T5" s="1">
        <v>1.2986842105263157</v>
      </c>
    </row>
    <row r="6" spans="1:20" x14ac:dyDescent="0.3">
      <c r="A6" s="1">
        <f>GETPIVOTDATA("ScreenTime_Hours",$A$3)</f>
        <v>1.3919999999999997</v>
      </c>
      <c r="C6" s="1">
        <f>GETPIVOTDATA("BMI",$C$3)</f>
        <v>17.05804960612538</v>
      </c>
      <c r="E6" s="5" t="s">
        <v>126</v>
      </c>
      <c r="F6" s="3">
        <v>8</v>
      </c>
      <c r="G6" s="3">
        <v>22</v>
      </c>
      <c r="H6" s="3">
        <v>30</v>
      </c>
      <c r="J6" s="5">
        <v>1</v>
      </c>
      <c r="K6" s="1">
        <v>16.35248862763348</v>
      </c>
      <c r="L6" s="1">
        <v>16.201722814253078</v>
      </c>
      <c r="M6" s="1">
        <v>17.145357431721354</v>
      </c>
      <c r="N6" s="1">
        <v>15.486892118792989</v>
      </c>
      <c r="O6" s="1">
        <v>17.548662976364966</v>
      </c>
      <c r="P6" s="1">
        <v>16.468003433538151</v>
      </c>
      <c r="R6" s="5" t="s">
        <v>120</v>
      </c>
      <c r="S6" s="1">
        <v>1.37</v>
      </c>
      <c r="T6" s="1">
        <v>1.3919999999999999</v>
      </c>
    </row>
    <row r="7" spans="1:20" x14ac:dyDescent="0.3">
      <c r="E7" s="5" t="s">
        <v>127</v>
      </c>
      <c r="F7" s="3">
        <v>10</v>
      </c>
      <c r="G7" s="3">
        <v>21</v>
      </c>
      <c r="H7" s="3">
        <v>31</v>
      </c>
      <c r="J7" s="5">
        <v>2</v>
      </c>
      <c r="K7" s="1">
        <v>18.304030863042058</v>
      </c>
      <c r="L7" s="1">
        <v>13.414804870225169</v>
      </c>
      <c r="M7" s="1">
        <v>17.219114471226323</v>
      </c>
      <c r="N7" s="1"/>
      <c r="O7" s="1">
        <v>17.104693630968079</v>
      </c>
      <c r="P7" s="1">
        <v>16.87382757410969</v>
      </c>
    </row>
    <row r="8" spans="1:20" x14ac:dyDescent="0.3">
      <c r="E8" s="5" t="s">
        <v>120</v>
      </c>
      <c r="F8" s="3">
        <v>24</v>
      </c>
      <c r="G8" s="3">
        <v>76</v>
      </c>
      <c r="H8" s="3">
        <v>100</v>
      </c>
      <c r="J8" s="5">
        <v>3</v>
      </c>
      <c r="K8" s="1">
        <v>18.791232347431109</v>
      </c>
      <c r="L8" s="1">
        <v>15.547827345547695</v>
      </c>
      <c r="M8" s="1">
        <v>18.37904051788599</v>
      </c>
      <c r="N8" s="1">
        <v>19.105850849662808</v>
      </c>
      <c r="O8" s="1">
        <v>15.747317770125974</v>
      </c>
      <c r="P8" s="1">
        <v>17.50835442521058</v>
      </c>
    </row>
    <row r="9" spans="1:20" x14ac:dyDescent="0.3">
      <c r="J9" s="5">
        <v>4</v>
      </c>
      <c r="K9" s="1">
        <v>17.326942725016981</v>
      </c>
      <c r="L9" s="1">
        <v>16.827714126941665</v>
      </c>
      <c r="M9" s="1">
        <v>16.79563742079436</v>
      </c>
      <c r="N9" s="1">
        <v>16.427913820241738</v>
      </c>
      <c r="O9" s="1">
        <v>20.023541521230683</v>
      </c>
      <c r="P9" s="1">
        <v>17.004575438549672</v>
      </c>
    </row>
    <row r="10" spans="1:20" x14ac:dyDescent="0.3">
      <c r="J10" s="5" t="s">
        <v>120</v>
      </c>
      <c r="K10" s="1">
        <v>17.801185141707748</v>
      </c>
      <c r="L10" s="1">
        <v>16.198132313610472</v>
      </c>
      <c r="M10" s="1">
        <v>17.352645060732396</v>
      </c>
      <c r="N10" s="1">
        <v>16.453644797937383</v>
      </c>
      <c r="O10" s="1">
        <v>17.160526114957836</v>
      </c>
      <c r="P10" s="1">
        <v>17.058049606125383</v>
      </c>
    </row>
    <row r="14" spans="1:20" x14ac:dyDescent="0.3">
      <c r="E14" s="4" t="s">
        <v>119</v>
      </c>
      <c r="F14" t="s">
        <v>130</v>
      </c>
      <c r="G14" t="s">
        <v>129</v>
      </c>
      <c r="K14" s="4" t="s">
        <v>119</v>
      </c>
      <c r="L14" t="s">
        <v>130</v>
      </c>
    </row>
    <row r="15" spans="1:20" x14ac:dyDescent="0.3">
      <c r="E15" s="5" t="s">
        <v>14</v>
      </c>
      <c r="F15" s="1">
        <v>17.280514841003029</v>
      </c>
      <c r="G15" s="1">
        <v>2.3333333333333335</v>
      </c>
      <c r="K15" s="5" t="s">
        <v>14</v>
      </c>
      <c r="L15" s="1">
        <v>17.280514841003029</v>
      </c>
    </row>
    <row r="16" spans="1:20" x14ac:dyDescent="0.3">
      <c r="E16" s="5" t="s">
        <v>20</v>
      </c>
      <c r="F16" s="1">
        <v>16.371172019628016</v>
      </c>
      <c r="G16" s="1">
        <v>2.1428571428571428</v>
      </c>
      <c r="K16" s="5" t="s">
        <v>20</v>
      </c>
      <c r="L16" s="1">
        <v>16.371172019628016</v>
      </c>
    </row>
    <row r="17" spans="5:12" x14ac:dyDescent="0.3">
      <c r="E17" s="5" t="s">
        <v>24</v>
      </c>
      <c r="F17" s="1">
        <v>16.789441132947946</v>
      </c>
      <c r="G17" s="1">
        <v>2</v>
      </c>
      <c r="K17" s="5" t="s">
        <v>24</v>
      </c>
      <c r="L17" s="1">
        <v>16.789441132947946</v>
      </c>
    </row>
    <row r="18" spans="5:12" x14ac:dyDescent="0.3">
      <c r="E18" s="5" t="s">
        <v>12</v>
      </c>
      <c r="F18" s="1">
        <v>17.188810268120474</v>
      </c>
      <c r="G18" s="1">
        <v>2.5</v>
      </c>
      <c r="K18" s="5" t="s">
        <v>12</v>
      </c>
      <c r="L18" s="1">
        <v>17.188810268120474</v>
      </c>
    </row>
    <row r="19" spans="5:12" x14ac:dyDescent="0.3">
      <c r="E19" s="5" t="s">
        <v>27</v>
      </c>
      <c r="F19" s="1">
        <v>17.912368815419139</v>
      </c>
      <c r="G19" s="1">
        <v>1.5833333333333333</v>
      </c>
      <c r="K19" s="5" t="s">
        <v>27</v>
      </c>
      <c r="L19" s="1">
        <v>17.912368815419139</v>
      </c>
    </row>
    <row r="20" spans="5:12" x14ac:dyDescent="0.3">
      <c r="E20" s="5" t="s">
        <v>120</v>
      </c>
      <c r="F20" s="1">
        <v>17.058049606125373</v>
      </c>
      <c r="G20" s="1">
        <v>2.19</v>
      </c>
      <c r="K20" s="5" t="s">
        <v>120</v>
      </c>
      <c r="L20" s="1">
        <v>17.058049606125373</v>
      </c>
    </row>
  </sheetData>
  <mergeCells count="4">
    <mergeCell ref="E2:H2"/>
    <mergeCell ref="A2:C2"/>
    <mergeCell ref="J2:P2"/>
    <mergeCell ref="R2:T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5C20C-4C4D-4350-8AD4-E3419FF4C3F8}">
  <dimension ref="A1"/>
  <sheetViews>
    <sheetView tabSelected="1" zoomScale="70" zoomScaleNormal="70" workbookViewId="0">
      <selection activeCell="X17" sqref="X17"/>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F7FC9-A898-43AA-9DD3-F9B44F1C06B6}">
  <dimension ref="A1:L101"/>
  <sheetViews>
    <sheetView topLeftCell="B1" workbookViewId="0">
      <selection activeCell="I1" sqref="I1"/>
    </sheetView>
  </sheetViews>
  <sheetFormatPr defaultRowHeight="15.05" x14ac:dyDescent="0.3"/>
  <cols>
    <col min="2" max="2" width="13.5546875" customWidth="1"/>
    <col min="4" max="5" width="11.77734375" customWidth="1"/>
    <col min="6" max="6" width="19.6640625" customWidth="1"/>
    <col min="7" max="7" width="21.5546875" customWidth="1"/>
    <col min="8" max="8" width="18.88671875" customWidth="1"/>
    <col min="9" max="9" width="18.44140625" customWidth="1"/>
    <col min="11" max="11" width="10.5546875" bestFit="1" customWidth="1"/>
    <col min="12" max="12" width="14.21875" bestFit="1" customWidth="1"/>
  </cols>
  <sheetData>
    <row r="1" spans="1:12" x14ac:dyDescent="0.3">
      <c r="A1" t="s">
        <v>0</v>
      </c>
      <c r="B1" t="s">
        <v>1</v>
      </c>
      <c r="C1" t="s">
        <v>2</v>
      </c>
      <c r="D1" t="s">
        <v>3</v>
      </c>
      <c r="E1" t="s">
        <v>4</v>
      </c>
      <c r="F1" t="s">
        <v>5</v>
      </c>
      <c r="G1" t="s">
        <v>6</v>
      </c>
      <c r="H1" t="s">
        <v>7</v>
      </c>
      <c r="I1" t="s">
        <v>8</v>
      </c>
      <c r="J1" t="s">
        <v>9</v>
      </c>
      <c r="K1" s="2" t="s">
        <v>117</v>
      </c>
      <c r="L1" t="s">
        <v>118</v>
      </c>
    </row>
    <row r="2" spans="1:12" x14ac:dyDescent="0.3">
      <c r="A2" t="s">
        <v>10</v>
      </c>
      <c r="B2">
        <v>47</v>
      </c>
      <c r="C2" t="s">
        <v>11</v>
      </c>
      <c r="D2">
        <v>104.41</v>
      </c>
      <c r="E2">
        <v>17.34</v>
      </c>
      <c r="F2">
        <v>1</v>
      </c>
      <c r="G2">
        <v>2</v>
      </c>
      <c r="H2">
        <v>3</v>
      </c>
      <c r="I2">
        <v>1.2</v>
      </c>
      <c r="J2" t="s">
        <v>12</v>
      </c>
      <c r="K2" s="1">
        <f>Table1[[#This Row],[Weight_kg]]/((Table1[[#This Row],[Height_cm]]/100)^2)</f>
        <v>15.90614369846883</v>
      </c>
      <c r="L2" t="str">
        <f>IF(Table1[[#This Row],[BMI]]&lt;18.5,"Under Weight",IF(Table1[[#This Row],[BMI]]&lt;24.5,"Healthy Weight",IF(Table1[[#This Row],[BMI]]&lt;=29.9,"Over weight","Obese")))</f>
        <v>Under Weight</v>
      </c>
    </row>
    <row r="3" spans="1:12" x14ac:dyDescent="0.3">
      <c r="A3" t="s">
        <v>13</v>
      </c>
      <c r="B3">
        <v>34</v>
      </c>
      <c r="C3" t="s">
        <v>11</v>
      </c>
      <c r="D3">
        <v>99.08</v>
      </c>
      <c r="E3">
        <v>16.21</v>
      </c>
      <c r="F3">
        <v>0</v>
      </c>
      <c r="G3">
        <v>1</v>
      </c>
      <c r="H3">
        <v>1</v>
      </c>
      <c r="I3">
        <v>1.4</v>
      </c>
      <c r="J3" t="s">
        <v>14</v>
      </c>
      <c r="K3" s="1">
        <f>Table1[[#This Row],[Weight_kg]]/((Table1[[#This Row],[Height_cm]]/100)^2)</f>
        <v>16.512431120446177</v>
      </c>
      <c r="L3" t="str">
        <f>IF(Table1[[#This Row],[BMI]]&lt;18.5,"Under Weight",IF(Table1[[#This Row],[BMI]]&lt;24.5,"Healthy Weight",IF(Table1[[#This Row],[BMI]]&lt;=29.9,"Over weight","Obese")))</f>
        <v>Under Weight</v>
      </c>
    </row>
    <row r="4" spans="1:12" x14ac:dyDescent="0.3">
      <c r="A4" t="s">
        <v>15</v>
      </c>
      <c r="B4">
        <v>35</v>
      </c>
      <c r="C4" t="s">
        <v>11</v>
      </c>
      <c r="D4">
        <v>94.96</v>
      </c>
      <c r="E4">
        <v>17.3</v>
      </c>
      <c r="F4">
        <v>3</v>
      </c>
      <c r="G4">
        <v>3</v>
      </c>
      <c r="H4">
        <v>2</v>
      </c>
      <c r="I4">
        <v>0.6</v>
      </c>
      <c r="J4" t="s">
        <v>14</v>
      </c>
      <c r="K4" s="1">
        <f>Table1[[#This Row],[Weight_kg]]/((Table1[[#This Row],[Height_cm]]/100)^2)</f>
        <v>19.185127564907393</v>
      </c>
      <c r="L4" t="str">
        <f>IF(Table1[[#This Row],[BMI]]&lt;18.5,"Under Weight",IF(Table1[[#This Row],[BMI]]&lt;24.5,"Healthy Weight",IF(Table1[[#This Row],[BMI]]&lt;=29.9,"Over weight","Obese")))</f>
        <v>Healthy Weight</v>
      </c>
    </row>
    <row r="5" spans="1:12" x14ac:dyDescent="0.3">
      <c r="A5" t="s">
        <v>16</v>
      </c>
      <c r="B5">
        <v>39</v>
      </c>
      <c r="C5" t="s">
        <v>11</v>
      </c>
      <c r="D5">
        <v>100.65</v>
      </c>
      <c r="E5">
        <v>20.010000000000002</v>
      </c>
      <c r="F5">
        <v>2</v>
      </c>
      <c r="G5">
        <v>0</v>
      </c>
      <c r="H5">
        <v>1</v>
      </c>
      <c r="I5">
        <v>1.5</v>
      </c>
      <c r="J5" t="s">
        <v>14</v>
      </c>
      <c r="K5" s="1">
        <f>Table1[[#This Row],[Weight_kg]]/((Table1[[#This Row],[Height_cm]]/100)^2)</f>
        <v>19.75238446372795</v>
      </c>
      <c r="L5" t="str">
        <f>IF(Table1[[#This Row],[BMI]]&lt;18.5,"Under Weight",IF(Table1[[#This Row],[BMI]]&lt;24.5,"Healthy Weight",IF(Table1[[#This Row],[BMI]]&lt;=29.9,"Over weight","Obese")))</f>
        <v>Healthy Weight</v>
      </c>
    </row>
    <row r="6" spans="1:12" x14ac:dyDescent="0.3">
      <c r="A6" t="s">
        <v>17</v>
      </c>
      <c r="B6">
        <v>26</v>
      </c>
      <c r="C6" t="s">
        <v>11</v>
      </c>
      <c r="D6">
        <v>90.06</v>
      </c>
      <c r="E6">
        <v>12.16</v>
      </c>
      <c r="F6">
        <v>0</v>
      </c>
      <c r="G6">
        <v>1</v>
      </c>
      <c r="H6">
        <v>0</v>
      </c>
      <c r="I6">
        <v>0.9</v>
      </c>
      <c r="J6" t="s">
        <v>12</v>
      </c>
      <c r="K6" s="1">
        <f>Table1[[#This Row],[Weight_kg]]/((Table1[[#This Row],[Height_cm]]/100)^2)</f>
        <v>14.992349216790304</v>
      </c>
      <c r="L6" t="str">
        <f>IF(Table1[[#This Row],[BMI]]&lt;18.5,"Under Weight",IF(Table1[[#This Row],[BMI]]&lt;24.5,"Healthy Weight",IF(Table1[[#This Row],[BMI]]&lt;=29.9,"Over weight","Obese")))</f>
        <v>Under Weight</v>
      </c>
    </row>
    <row r="7" spans="1:12" x14ac:dyDescent="0.3">
      <c r="A7" t="s">
        <v>18</v>
      </c>
      <c r="B7">
        <v>51</v>
      </c>
      <c r="C7" t="s">
        <v>19</v>
      </c>
      <c r="D7">
        <v>108.82</v>
      </c>
      <c r="E7">
        <v>21.54</v>
      </c>
      <c r="F7">
        <v>0</v>
      </c>
      <c r="G7">
        <v>1</v>
      </c>
      <c r="H7">
        <v>1</v>
      </c>
      <c r="I7">
        <v>0.9</v>
      </c>
      <c r="J7" t="s">
        <v>20</v>
      </c>
      <c r="K7" s="1">
        <f>Table1[[#This Row],[Weight_kg]]/((Table1[[#This Row],[Height_cm]]/100)^2)</f>
        <v>18.189813900132215</v>
      </c>
      <c r="L7" t="str">
        <f>IF(Table1[[#This Row],[BMI]]&lt;18.5,"Under Weight",IF(Table1[[#This Row],[BMI]]&lt;24.5,"Healthy Weight",IF(Table1[[#This Row],[BMI]]&lt;=29.9,"Over weight","Obese")))</f>
        <v>Under Weight</v>
      </c>
    </row>
    <row r="8" spans="1:12" x14ac:dyDescent="0.3">
      <c r="A8" t="s">
        <v>21</v>
      </c>
      <c r="B8">
        <v>52</v>
      </c>
      <c r="C8" t="s">
        <v>19</v>
      </c>
      <c r="D8">
        <v>110.28</v>
      </c>
      <c r="E8">
        <v>21.49</v>
      </c>
      <c r="F8">
        <v>4</v>
      </c>
      <c r="G8">
        <v>0</v>
      </c>
      <c r="H8">
        <v>2</v>
      </c>
      <c r="I8">
        <v>2.8</v>
      </c>
      <c r="J8" t="s">
        <v>12</v>
      </c>
      <c r="K8" s="1">
        <f>Table1[[#This Row],[Weight_kg]]/((Table1[[#This Row],[Height_cm]]/100)^2)</f>
        <v>17.67025840775398</v>
      </c>
      <c r="L8" t="str">
        <f>IF(Table1[[#This Row],[BMI]]&lt;18.5,"Under Weight",IF(Table1[[#This Row],[BMI]]&lt;24.5,"Healthy Weight",IF(Table1[[#This Row],[BMI]]&lt;=29.9,"Over weight","Obese")))</f>
        <v>Under Weight</v>
      </c>
    </row>
    <row r="9" spans="1:12" x14ac:dyDescent="0.3">
      <c r="A9" t="s">
        <v>22</v>
      </c>
      <c r="B9">
        <v>52</v>
      </c>
      <c r="C9" t="s">
        <v>11</v>
      </c>
      <c r="D9">
        <v>102.65</v>
      </c>
      <c r="E9">
        <v>19.55</v>
      </c>
      <c r="F9">
        <v>2</v>
      </c>
      <c r="G9">
        <v>2</v>
      </c>
      <c r="H9">
        <v>1</v>
      </c>
      <c r="I9">
        <v>1.3</v>
      </c>
      <c r="J9" t="s">
        <v>14</v>
      </c>
      <c r="K9" s="1">
        <f>Table1[[#This Row],[Weight_kg]]/((Table1[[#This Row],[Height_cm]]/100)^2)</f>
        <v>18.553628408784363</v>
      </c>
      <c r="L9" t="str">
        <f>IF(Table1[[#This Row],[BMI]]&lt;18.5,"Under Weight",IF(Table1[[#This Row],[BMI]]&lt;24.5,"Healthy Weight",IF(Table1[[#This Row],[BMI]]&lt;=29.9,"Over weight","Obese")))</f>
        <v>Healthy Weight</v>
      </c>
    </row>
    <row r="10" spans="1:12" x14ac:dyDescent="0.3">
      <c r="A10" t="s">
        <v>23</v>
      </c>
      <c r="B10">
        <v>28</v>
      </c>
      <c r="C10" t="s">
        <v>19</v>
      </c>
      <c r="D10">
        <v>91.47</v>
      </c>
      <c r="E10">
        <v>16.39</v>
      </c>
      <c r="F10">
        <v>3</v>
      </c>
      <c r="G10">
        <v>2</v>
      </c>
      <c r="H10">
        <v>3</v>
      </c>
      <c r="I10">
        <v>0.8</v>
      </c>
      <c r="J10" t="s">
        <v>24</v>
      </c>
      <c r="K10" s="1">
        <f>Table1[[#This Row],[Weight_kg]]/((Table1[[#This Row],[Height_cm]]/100)^2)</f>
        <v>19.589420799631078</v>
      </c>
      <c r="L10" t="str">
        <f>IF(Table1[[#This Row],[BMI]]&lt;18.5,"Under Weight",IF(Table1[[#This Row],[BMI]]&lt;24.5,"Healthy Weight",IF(Table1[[#This Row],[BMI]]&lt;=29.9,"Over weight","Obese")))</f>
        <v>Healthy Weight</v>
      </c>
    </row>
    <row r="11" spans="1:12" x14ac:dyDescent="0.3">
      <c r="A11" t="s">
        <v>25</v>
      </c>
      <c r="B11">
        <v>44</v>
      </c>
      <c r="C11" t="s">
        <v>11</v>
      </c>
      <c r="D11">
        <v>111.89</v>
      </c>
      <c r="E11">
        <v>17.95</v>
      </c>
      <c r="F11">
        <v>1</v>
      </c>
      <c r="G11">
        <v>3</v>
      </c>
      <c r="H11">
        <v>0</v>
      </c>
      <c r="I11">
        <v>0.8</v>
      </c>
      <c r="J11" t="s">
        <v>14</v>
      </c>
      <c r="K11" s="1">
        <f>Table1[[#This Row],[Weight_kg]]/((Table1[[#This Row],[Height_cm]]/100)^2)</f>
        <v>14.337779767724934</v>
      </c>
      <c r="L11" t="str">
        <f>IF(Table1[[#This Row],[BMI]]&lt;18.5,"Under Weight",IF(Table1[[#This Row],[BMI]]&lt;24.5,"Healthy Weight",IF(Table1[[#This Row],[BMI]]&lt;=29.9,"Over weight","Obese")))</f>
        <v>Under Weight</v>
      </c>
    </row>
    <row r="12" spans="1:12" x14ac:dyDescent="0.3">
      <c r="A12" t="s">
        <v>26</v>
      </c>
      <c r="B12">
        <v>25</v>
      </c>
      <c r="C12" t="s">
        <v>19</v>
      </c>
      <c r="D12">
        <v>96.25</v>
      </c>
      <c r="E12">
        <v>13.5</v>
      </c>
      <c r="F12">
        <v>3</v>
      </c>
      <c r="G12">
        <v>4</v>
      </c>
      <c r="H12">
        <v>0</v>
      </c>
      <c r="I12">
        <v>0.6</v>
      </c>
      <c r="J12" t="s">
        <v>27</v>
      </c>
      <c r="K12" s="1">
        <f>Table1[[#This Row],[Weight_kg]]/((Table1[[#This Row],[Height_cm]]/100)^2)</f>
        <v>14.572440546466519</v>
      </c>
      <c r="L12" t="str">
        <f>IF(Table1[[#This Row],[BMI]]&lt;18.5,"Under Weight",IF(Table1[[#This Row],[BMI]]&lt;24.5,"Healthy Weight",IF(Table1[[#This Row],[BMI]]&lt;=29.9,"Over weight","Obese")))</f>
        <v>Under Weight</v>
      </c>
    </row>
    <row r="13" spans="1:12" x14ac:dyDescent="0.3">
      <c r="A13" t="s">
        <v>28</v>
      </c>
      <c r="B13">
        <v>32</v>
      </c>
      <c r="C13" t="s">
        <v>11</v>
      </c>
      <c r="D13">
        <v>96.02</v>
      </c>
      <c r="E13">
        <v>16.55</v>
      </c>
      <c r="F13">
        <v>2</v>
      </c>
      <c r="G13">
        <v>0</v>
      </c>
      <c r="H13">
        <v>2</v>
      </c>
      <c r="I13">
        <v>1</v>
      </c>
      <c r="J13" t="s">
        <v>24</v>
      </c>
      <c r="K13" s="1">
        <f>Table1[[#This Row],[Weight_kg]]/((Table1[[#This Row],[Height_cm]]/100)^2)</f>
        <v>17.950419185130364</v>
      </c>
      <c r="L13" t="str">
        <f>IF(Table1[[#This Row],[BMI]]&lt;18.5,"Under Weight",IF(Table1[[#This Row],[BMI]]&lt;24.5,"Healthy Weight",IF(Table1[[#This Row],[BMI]]&lt;=29.9,"Over weight","Obese")))</f>
        <v>Under Weight</v>
      </c>
    </row>
    <row r="14" spans="1:12" x14ac:dyDescent="0.3">
      <c r="A14" t="s">
        <v>29</v>
      </c>
      <c r="B14">
        <v>34</v>
      </c>
      <c r="C14" t="s">
        <v>19</v>
      </c>
      <c r="D14">
        <v>97.37</v>
      </c>
      <c r="E14">
        <v>15.55</v>
      </c>
      <c r="F14">
        <v>0</v>
      </c>
      <c r="G14">
        <v>1</v>
      </c>
      <c r="H14">
        <v>2</v>
      </c>
      <c r="I14">
        <v>1.3</v>
      </c>
      <c r="J14" t="s">
        <v>20</v>
      </c>
      <c r="K14" s="1">
        <f>Table1[[#This Row],[Weight_kg]]/((Table1[[#This Row],[Height_cm]]/100)^2)</f>
        <v>16.401367255945466</v>
      </c>
      <c r="L14" t="str">
        <f>IF(Table1[[#This Row],[BMI]]&lt;18.5,"Under Weight",IF(Table1[[#This Row],[BMI]]&lt;24.5,"Healthy Weight",IF(Table1[[#This Row],[BMI]]&lt;=29.9,"Over weight","Obese")))</f>
        <v>Under Weight</v>
      </c>
    </row>
    <row r="15" spans="1:12" x14ac:dyDescent="0.3">
      <c r="A15" t="s">
        <v>30</v>
      </c>
      <c r="B15">
        <v>49</v>
      </c>
      <c r="C15" t="s">
        <v>19</v>
      </c>
      <c r="D15">
        <v>108.39</v>
      </c>
      <c r="E15">
        <v>20.100000000000001</v>
      </c>
      <c r="F15">
        <v>0</v>
      </c>
      <c r="G15">
        <v>2</v>
      </c>
      <c r="H15">
        <v>3</v>
      </c>
      <c r="I15">
        <v>0.6</v>
      </c>
      <c r="J15" t="s">
        <v>20</v>
      </c>
      <c r="K15" s="1">
        <f>Table1[[#This Row],[Weight_kg]]/((Table1[[#This Row],[Height_cm]]/100)^2)</f>
        <v>17.108724180222072</v>
      </c>
      <c r="L15" t="str">
        <f>IF(Table1[[#This Row],[BMI]]&lt;18.5,"Under Weight",IF(Table1[[#This Row],[BMI]]&lt;24.5,"Healthy Weight",IF(Table1[[#This Row],[BMI]]&lt;=29.9,"Over weight","Obese")))</f>
        <v>Under Weight</v>
      </c>
    </row>
    <row r="16" spans="1:12" x14ac:dyDescent="0.3">
      <c r="A16" t="s">
        <v>31</v>
      </c>
      <c r="B16">
        <v>25</v>
      </c>
      <c r="C16" t="s">
        <v>19</v>
      </c>
      <c r="D16">
        <v>92.58</v>
      </c>
      <c r="E16">
        <v>15.13</v>
      </c>
      <c r="F16">
        <v>2</v>
      </c>
      <c r="G16">
        <v>2</v>
      </c>
      <c r="H16">
        <v>2</v>
      </c>
      <c r="I16">
        <v>1.6</v>
      </c>
      <c r="J16" t="s">
        <v>14</v>
      </c>
      <c r="K16" s="1">
        <f>Table1[[#This Row],[Weight_kg]]/((Table1[[#This Row],[Height_cm]]/100)^2)</f>
        <v>17.652433135313405</v>
      </c>
      <c r="L16" t="str">
        <f>IF(Table1[[#This Row],[BMI]]&lt;18.5,"Under Weight",IF(Table1[[#This Row],[BMI]]&lt;24.5,"Healthy Weight",IF(Table1[[#This Row],[BMI]]&lt;=29.9,"Over weight","Obese")))</f>
        <v>Under Weight</v>
      </c>
    </row>
    <row r="17" spans="1:12" x14ac:dyDescent="0.3">
      <c r="A17" t="s">
        <v>32</v>
      </c>
      <c r="B17">
        <v>38</v>
      </c>
      <c r="C17" t="s">
        <v>19</v>
      </c>
      <c r="D17">
        <v>99.65</v>
      </c>
      <c r="E17">
        <v>16.940000000000001</v>
      </c>
      <c r="F17">
        <v>1</v>
      </c>
      <c r="G17">
        <v>3</v>
      </c>
      <c r="H17">
        <v>3</v>
      </c>
      <c r="I17">
        <v>2.1</v>
      </c>
      <c r="J17" t="s">
        <v>14</v>
      </c>
      <c r="K17" s="1">
        <f>Table1[[#This Row],[Weight_kg]]/((Table1[[#This Row],[Height_cm]]/100)^2)</f>
        <v>17.059205462973896</v>
      </c>
      <c r="L17" t="str">
        <f>IF(Table1[[#This Row],[BMI]]&lt;18.5,"Under Weight",IF(Table1[[#This Row],[BMI]]&lt;24.5,"Healthy Weight",IF(Table1[[#This Row],[BMI]]&lt;=29.9,"Over weight","Obese")))</f>
        <v>Under Weight</v>
      </c>
    </row>
    <row r="18" spans="1:12" x14ac:dyDescent="0.3">
      <c r="A18" t="s">
        <v>33</v>
      </c>
      <c r="B18">
        <v>38</v>
      </c>
      <c r="C18" t="s">
        <v>11</v>
      </c>
      <c r="D18">
        <v>98.91</v>
      </c>
      <c r="E18">
        <v>19.489999999999998</v>
      </c>
      <c r="F18">
        <v>0</v>
      </c>
      <c r="G18">
        <v>0</v>
      </c>
      <c r="H18">
        <v>3</v>
      </c>
      <c r="I18">
        <v>3.1</v>
      </c>
      <c r="J18" t="s">
        <v>14</v>
      </c>
      <c r="K18" s="1">
        <f>Table1[[#This Row],[Weight_kg]]/((Table1[[#This Row],[Height_cm]]/100)^2)</f>
        <v>19.92193117497148</v>
      </c>
      <c r="L18" t="str">
        <f>IF(Table1[[#This Row],[BMI]]&lt;18.5,"Under Weight",IF(Table1[[#This Row],[BMI]]&lt;24.5,"Healthy Weight",IF(Table1[[#This Row],[BMI]]&lt;=29.9,"Over weight","Obese")))</f>
        <v>Healthy Weight</v>
      </c>
    </row>
    <row r="19" spans="1:12" x14ac:dyDescent="0.3">
      <c r="A19" t="s">
        <v>34</v>
      </c>
      <c r="B19">
        <v>25</v>
      </c>
      <c r="C19" t="s">
        <v>11</v>
      </c>
      <c r="D19">
        <v>96.42</v>
      </c>
      <c r="E19">
        <v>14.69</v>
      </c>
      <c r="F19">
        <v>1</v>
      </c>
      <c r="G19">
        <v>3</v>
      </c>
      <c r="H19">
        <v>2</v>
      </c>
      <c r="I19">
        <v>1.2</v>
      </c>
      <c r="J19" t="s">
        <v>24</v>
      </c>
      <c r="K19" s="1">
        <f>Table1[[#This Row],[Weight_kg]]/((Table1[[#This Row],[Height_cm]]/100)^2)</f>
        <v>15.801108000799067</v>
      </c>
      <c r="L19" t="str">
        <f>IF(Table1[[#This Row],[BMI]]&lt;18.5,"Under Weight",IF(Table1[[#This Row],[BMI]]&lt;24.5,"Healthy Weight",IF(Table1[[#This Row],[BMI]]&lt;=29.9,"Over weight","Obese")))</f>
        <v>Under Weight</v>
      </c>
    </row>
    <row r="20" spans="1:12" x14ac:dyDescent="0.3">
      <c r="A20" t="s">
        <v>35</v>
      </c>
      <c r="B20">
        <v>57</v>
      </c>
      <c r="C20" t="s">
        <v>11</v>
      </c>
      <c r="D20">
        <v>109.26</v>
      </c>
      <c r="E20">
        <v>20.61</v>
      </c>
      <c r="F20">
        <v>3</v>
      </c>
      <c r="G20">
        <v>2</v>
      </c>
      <c r="H20">
        <v>1</v>
      </c>
      <c r="I20">
        <v>2</v>
      </c>
      <c r="J20" t="s">
        <v>20</v>
      </c>
      <c r="K20" s="1">
        <f>Table1[[#This Row],[Weight_kg]]/((Table1[[#This Row],[Height_cm]]/100)^2)</f>
        <v>17.264563375422682</v>
      </c>
      <c r="L20" t="str">
        <f>IF(Table1[[#This Row],[BMI]]&lt;18.5,"Under Weight",IF(Table1[[#This Row],[BMI]]&lt;24.5,"Healthy Weight",IF(Table1[[#This Row],[BMI]]&lt;=29.9,"Over weight","Obese")))</f>
        <v>Under Weight</v>
      </c>
    </row>
    <row r="21" spans="1:12" x14ac:dyDescent="0.3">
      <c r="A21" t="s">
        <v>36</v>
      </c>
      <c r="B21">
        <v>34</v>
      </c>
      <c r="C21" t="s">
        <v>19</v>
      </c>
      <c r="D21">
        <v>98.22</v>
      </c>
      <c r="E21">
        <v>15.49</v>
      </c>
      <c r="F21">
        <v>1</v>
      </c>
      <c r="G21">
        <v>2</v>
      </c>
      <c r="H21">
        <v>0</v>
      </c>
      <c r="I21">
        <v>0.8</v>
      </c>
      <c r="J21" t="s">
        <v>14</v>
      </c>
      <c r="K21" s="1">
        <f>Table1[[#This Row],[Weight_kg]]/((Table1[[#This Row],[Height_cm]]/100)^2)</f>
        <v>16.056524938447225</v>
      </c>
      <c r="L21" t="str">
        <f>IF(Table1[[#This Row],[BMI]]&lt;18.5,"Under Weight",IF(Table1[[#This Row],[BMI]]&lt;24.5,"Healthy Weight",IF(Table1[[#This Row],[BMI]]&lt;=29.9,"Over weight","Obese")))</f>
        <v>Under Weight</v>
      </c>
    </row>
    <row r="22" spans="1:12" x14ac:dyDescent="0.3">
      <c r="A22" t="s">
        <v>37</v>
      </c>
      <c r="B22">
        <v>35</v>
      </c>
      <c r="C22" t="s">
        <v>11</v>
      </c>
      <c r="D22">
        <v>101.02</v>
      </c>
      <c r="E22">
        <v>16.760000000000002</v>
      </c>
      <c r="F22">
        <v>3</v>
      </c>
      <c r="G22">
        <v>2</v>
      </c>
      <c r="H22">
        <v>2</v>
      </c>
      <c r="I22">
        <v>1.9</v>
      </c>
      <c r="J22" t="s">
        <v>12</v>
      </c>
      <c r="K22" s="1">
        <f>Table1[[#This Row],[Weight_kg]]/((Table1[[#This Row],[Height_cm]]/100)^2)</f>
        <v>16.423256883921791</v>
      </c>
      <c r="L22" t="str">
        <f>IF(Table1[[#This Row],[BMI]]&lt;18.5,"Under Weight",IF(Table1[[#This Row],[BMI]]&lt;24.5,"Healthy Weight",IF(Table1[[#This Row],[BMI]]&lt;=29.9,"Over weight","Obese")))</f>
        <v>Under Weight</v>
      </c>
    </row>
    <row r="23" spans="1:12" x14ac:dyDescent="0.3">
      <c r="A23" t="s">
        <v>38</v>
      </c>
      <c r="B23">
        <v>56</v>
      </c>
      <c r="C23" t="s">
        <v>19</v>
      </c>
      <c r="D23">
        <v>111.44</v>
      </c>
      <c r="E23">
        <v>21.87</v>
      </c>
      <c r="F23">
        <v>4</v>
      </c>
      <c r="G23">
        <v>1</v>
      </c>
      <c r="H23">
        <v>2</v>
      </c>
      <c r="I23">
        <v>1.9</v>
      </c>
      <c r="J23" t="s">
        <v>20</v>
      </c>
      <c r="K23" s="1">
        <f>Table1[[#This Row],[Weight_kg]]/((Table1[[#This Row],[Height_cm]]/100)^2)</f>
        <v>17.610292772445963</v>
      </c>
      <c r="L23" t="str">
        <f>IF(Table1[[#This Row],[BMI]]&lt;18.5,"Under Weight",IF(Table1[[#This Row],[BMI]]&lt;24.5,"Healthy Weight",IF(Table1[[#This Row],[BMI]]&lt;=29.9,"Over weight","Obese")))</f>
        <v>Under Weight</v>
      </c>
    </row>
    <row r="24" spans="1:12" x14ac:dyDescent="0.3">
      <c r="A24" t="s">
        <v>39</v>
      </c>
      <c r="B24">
        <v>46</v>
      </c>
      <c r="C24" t="s">
        <v>19</v>
      </c>
      <c r="D24">
        <v>103.85</v>
      </c>
      <c r="E24">
        <v>19.47</v>
      </c>
      <c r="F24">
        <v>2</v>
      </c>
      <c r="G24">
        <v>4</v>
      </c>
      <c r="H24">
        <v>3</v>
      </c>
      <c r="I24">
        <v>2.9</v>
      </c>
      <c r="J24" t="s">
        <v>20</v>
      </c>
      <c r="K24" s="1">
        <f>Table1[[#This Row],[Weight_kg]]/((Table1[[#This Row],[Height_cm]]/100)^2)</f>
        <v>18.053148301698982</v>
      </c>
      <c r="L24" t="str">
        <f>IF(Table1[[#This Row],[BMI]]&lt;18.5,"Under Weight",IF(Table1[[#This Row],[BMI]]&lt;24.5,"Healthy Weight",IF(Table1[[#This Row],[BMI]]&lt;=29.9,"Over weight","Obese")))</f>
        <v>Under Weight</v>
      </c>
    </row>
    <row r="25" spans="1:12" x14ac:dyDescent="0.3">
      <c r="A25" t="s">
        <v>40</v>
      </c>
      <c r="B25">
        <v>35</v>
      </c>
      <c r="C25" t="s">
        <v>11</v>
      </c>
      <c r="D25">
        <v>102.67</v>
      </c>
      <c r="E25">
        <v>13.79</v>
      </c>
      <c r="F25">
        <v>4</v>
      </c>
      <c r="G25">
        <v>1</v>
      </c>
      <c r="H25">
        <v>1</v>
      </c>
      <c r="I25">
        <v>2</v>
      </c>
      <c r="J25" t="s">
        <v>14</v>
      </c>
      <c r="K25" s="1">
        <f>Table1[[#This Row],[Weight_kg]]/((Table1[[#This Row],[Height_cm]]/100)^2)</f>
        <v>13.082090287312587</v>
      </c>
      <c r="L25" t="str">
        <f>IF(Table1[[#This Row],[BMI]]&lt;18.5,"Under Weight",IF(Table1[[#This Row],[BMI]]&lt;24.5,"Healthy Weight",IF(Table1[[#This Row],[BMI]]&lt;=29.9,"Over weight","Obese")))</f>
        <v>Under Weight</v>
      </c>
    </row>
    <row r="26" spans="1:12" x14ac:dyDescent="0.3">
      <c r="A26" t="s">
        <v>41</v>
      </c>
      <c r="B26">
        <v>52</v>
      </c>
      <c r="C26" t="s">
        <v>19</v>
      </c>
      <c r="D26">
        <v>107.91</v>
      </c>
      <c r="E26">
        <v>19.27</v>
      </c>
      <c r="F26">
        <v>4</v>
      </c>
      <c r="G26">
        <v>0</v>
      </c>
      <c r="H26">
        <v>0</v>
      </c>
      <c r="I26">
        <v>0.8</v>
      </c>
      <c r="J26" t="s">
        <v>20</v>
      </c>
      <c r="K26" s="1">
        <f>Table1[[#This Row],[Weight_kg]]/((Table1[[#This Row],[Height_cm]]/100)^2)</f>
        <v>16.548488389191526</v>
      </c>
      <c r="L26" t="str">
        <f>IF(Table1[[#This Row],[BMI]]&lt;18.5,"Under Weight",IF(Table1[[#This Row],[BMI]]&lt;24.5,"Healthy Weight",IF(Table1[[#This Row],[BMI]]&lt;=29.9,"Over weight","Obese")))</f>
        <v>Under Weight</v>
      </c>
    </row>
    <row r="27" spans="1:12" x14ac:dyDescent="0.3">
      <c r="A27" t="s">
        <v>42</v>
      </c>
      <c r="B27">
        <v>30</v>
      </c>
      <c r="C27" t="s">
        <v>11</v>
      </c>
      <c r="D27">
        <v>96.67</v>
      </c>
      <c r="E27">
        <v>15.72</v>
      </c>
      <c r="F27">
        <v>3</v>
      </c>
      <c r="G27">
        <v>1</v>
      </c>
      <c r="H27">
        <v>2</v>
      </c>
      <c r="I27">
        <v>1.2</v>
      </c>
      <c r="J27" t="s">
        <v>24</v>
      </c>
      <c r="K27" s="1">
        <f>Table1[[#This Row],[Weight_kg]]/((Table1[[#This Row],[Height_cm]]/100)^2)</f>
        <v>16.821669829165565</v>
      </c>
      <c r="L27" t="str">
        <f>IF(Table1[[#This Row],[BMI]]&lt;18.5,"Under Weight",IF(Table1[[#This Row],[BMI]]&lt;24.5,"Healthy Weight",IF(Table1[[#This Row],[BMI]]&lt;=29.9,"Over weight","Obese")))</f>
        <v>Under Weight</v>
      </c>
    </row>
    <row r="28" spans="1:12" x14ac:dyDescent="0.3">
      <c r="A28" t="s">
        <v>43</v>
      </c>
      <c r="B28">
        <v>35</v>
      </c>
      <c r="C28" t="s">
        <v>19</v>
      </c>
      <c r="D28">
        <v>101.41</v>
      </c>
      <c r="E28">
        <v>19.45</v>
      </c>
      <c r="F28">
        <v>0</v>
      </c>
      <c r="G28">
        <v>4</v>
      </c>
      <c r="H28">
        <v>2</v>
      </c>
      <c r="I28">
        <v>1.9</v>
      </c>
      <c r="J28" t="s">
        <v>12</v>
      </c>
      <c r="K28" s="1">
        <f>Table1[[#This Row],[Weight_kg]]/((Table1[[#This Row],[Height_cm]]/100)^2)</f>
        <v>18.912896252767929</v>
      </c>
      <c r="L28" t="str">
        <f>IF(Table1[[#This Row],[BMI]]&lt;18.5,"Under Weight",IF(Table1[[#This Row],[BMI]]&lt;24.5,"Healthy Weight",IF(Table1[[#This Row],[BMI]]&lt;=29.9,"Over weight","Obese")))</f>
        <v>Healthy Weight</v>
      </c>
    </row>
    <row r="29" spans="1:12" x14ac:dyDescent="0.3">
      <c r="A29" t="s">
        <v>44</v>
      </c>
      <c r="B29">
        <v>32</v>
      </c>
      <c r="C29" t="s">
        <v>11</v>
      </c>
      <c r="D29">
        <v>102.28</v>
      </c>
      <c r="E29">
        <v>11.75</v>
      </c>
      <c r="F29">
        <v>2</v>
      </c>
      <c r="G29">
        <v>1</v>
      </c>
      <c r="H29">
        <v>1</v>
      </c>
      <c r="I29">
        <v>1.3</v>
      </c>
      <c r="J29" t="s">
        <v>20</v>
      </c>
      <c r="K29" s="1">
        <f>Table1[[#This Row],[Weight_kg]]/((Table1[[#This Row],[Height_cm]]/100)^2)</f>
        <v>11.23198275256877</v>
      </c>
      <c r="L29" t="str">
        <f>IF(Table1[[#This Row],[BMI]]&lt;18.5,"Under Weight",IF(Table1[[#This Row],[BMI]]&lt;24.5,"Healthy Weight",IF(Table1[[#This Row],[BMI]]&lt;=29.9,"Over weight","Obese")))</f>
        <v>Under Weight</v>
      </c>
    </row>
    <row r="30" spans="1:12" x14ac:dyDescent="0.3">
      <c r="A30" t="s">
        <v>45</v>
      </c>
      <c r="B30">
        <v>46</v>
      </c>
      <c r="C30" t="s">
        <v>19</v>
      </c>
      <c r="D30">
        <v>105.06</v>
      </c>
      <c r="E30">
        <v>17.260000000000002</v>
      </c>
      <c r="F30">
        <v>4</v>
      </c>
      <c r="G30">
        <v>1</v>
      </c>
      <c r="H30">
        <v>2</v>
      </c>
      <c r="I30">
        <v>0.8</v>
      </c>
      <c r="J30" t="s">
        <v>14</v>
      </c>
      <c r="K30" s="1">
        <f>Table1[[#This Row],[Weight_kg]]/((Table1[[#This Row],[Height_cm]]/100)^2)</f>
        <v>15.637452318001349</v>
      </c>
      <c r="L30" t="str">
        <f>IF(Table1[[#This Row],[BMI]]&lt;18.5,"Under Weight",IF(Table1[[#This Row],[BMI]]&lt;24.5,"Healthy Weight",IF(Table1[[#This Row],[BMI]]&lt;=29.9,"Over weight","Obese")))</f>
        <v>Under Weight</v>
      </c>
    </row>
    <row r="31" spans="1:12" x14ac:dyDescent="0.3">
      <c r="A31" t="s">
        <v>46</v>
      </c>
      <c r="B31">
        <v>43</v>
      </c>
      <c r="C31" t="s">
        <v>19</v>
      </c>
      <c r="D31">
        <v>103.22</v>
      </c>
      <c r="E31">
        <v>20.74</v>
      </c>
      <c r="F31">
        <v>2</v>
      </c>
      <c r="G31">
        <v>2</v>
      </c>
      <c r="H31">
        <v>3</v>
      </c>
      <c r="I31">
        <v>2.1</v>
      </c>
      <c r="J31" t="s">
        <v>12</v>
      </c>
      <c r="K31" s="1">
        <f>Table1[[#This Row],[Weight_kg]]/((Table1[[#This Row],[Height_cm]]/100)^2)</f>
        <v>19.466193791459283</v>
      </c>
      <c r="L31" t="str">
        <f>IF(Table1[[#This Row],[BMI]]&lt;18.5,"Under Weight",IF(Table1[[#This Row],[BMI]]&lt;24.5,"Healthy Weight",IF(Table1[[#This Row],[BMI]]&lt;=29.9,"Over weight","Obese")))</f>
        <v>Healthy Weight</v>
      </c>
    </row>
    <row r="32" spans="1:12" x14ac:dyDescent="0.3">
      <c r="A32" t="s">
        <v>47</v>
      </c>
      <c r="B32">
        <v>46</v>
      </c>
      <c r="C32" t="s">
        <v>11</v>
      </c>
      <c r="D32">
        <v>105.42</v>
      </c>
      <c r="E32">
        <v>20.23</v>
      </c>
      <c r="F32">
        <v>4</v>
      </c>
      <c r="G32">
        <v>0</v>
      </c>
      <c r="H32">
        <v>2</v>
      </c>
      <c r="I32">
        <v>2.2999999999999998</v>
      </c>
      <c r="J32" t="s">
        <v>27</v>
      </c>
      <c r="K32" s="1">
        <f>Table1[[#This Row],[Weight_kg]]/((Table1[[#This Row],[Height_cm]]/100)^2)</f>
        <v>18.203288786295403</v>
      </c>
      <c r="L32" t="str">
        <f>IF(Table1[[#This Row],[BMI]]&lt;18.5,"Under Weight",IF(Table1[[#This Row],[BMI]]&lt;24.5,"Healthy Weight",IF(Table1[[#This Row],[BMI]]&lt;=29.9,"Over weight","Obese")))</f>
        <v>Under Weight</v>
      </c>
    </row>
    <row r="33" spans="1:12" x14ac:dyDescent="0.3">
      <c r="A33" t="s">
        <v>48</v>
      </c>
      <c r="B33">
        <v>32</v>
      </c>
      <c r="C33" t="s">
        <v>19</v>
      </c>
      <c r="D33">
        <v>97.29</v>
      </c>
      <c r="E33">
        <v>12.89</v>
      </c>
      <c r="F33">
        <v>4</v>
      </c>
      <c r="G33">
        <v>2</v>
      </c>
      <c r="H33">
        <v>2</v>
      </c>
      <c r="I33">
        <v>1.3</v>
      </c>
      <c r="J33" t="s">
        <v>14</v>
      </c>
      <c r="K33" s="1">
        <f>Table1[[#This Row],[Weight_kg]]/((Table1[[#This Row],[Height_cm]]/100)^2)</f>
        <v>13.618099737124188</v>
      </c>
      <c r="L33" t="str">
        <f>IF(Table1[[#This Row],[BMI]]&lt;18.5,"Under Weight",IF(Table1[[#This Row],[BMI]]&lt;24.5,"Healthy Weight",IF(Table1[[#This Row],[BMI]]&lt;=29.9,"Over weight","Obese")))</f>
        <v>Under Weight</v>
      </c>
    </row>
    <row r="34" spans="1:12" x14ac:dyDescent="0.3">
      <c r="A34" t="s">
        <v>49</v>
      </c>
      <c r="B34">
        <v>46</v>
      </c>
      <c r="C34" t="s">
        <v>19</v>
      </c>
      <c r="D34">
        <v>106.22</v>
      </c>
      <c r="E34">
        <v>19.48</v>
      </c>
      <c r="F34">
        <v>4</v>
      </c>
      <c r="G34">
        <v>3</v>
      </c>
      <c r="H34">
        <v>0</v>
      </c>
      <c r="I34">
        <v>0.7</v>
      </c>
      <c r="J34" t="s">
        <v>12</v>
      </c>
      <c r="K34" s="1">
        <f>Table1[[#This Row],[Weight_kg]]/((Table1[[#This Row],[Height_cm]]/100)^2)</f>
        <v>17.26538862847617</v>
      </c>
      <c r="L34" t="str">
        <f>IF(Table1[[#This Row],[BMI]]&lt;18.5,"Under Weight",IF(Table1[[#This Row],[BMI]]&lt;24.5,"Healthy Weight",IF(Table1[[#This Row],[BMI]]&lt;=29.9,"Over weight","Obese")))</f>
        <v>Under Weight</v>
      </c>
    </row>
    <row r="35" spans="1:12" x14ac:dyDescent="0.3">
      <c r="A35" t="s">
        <v>50</v>
      </c>
      <c r="B35">
        <v>56</v>
      </c>
      <c r="C35" t="s">
        <v>11</v>
      </c>
      <c r="D35">
        <v>114.63</v>
      </c>
      <c r="E35">
        <v>20.11</v>
      </c>
      <c r="F35">
        <v>2</v>
      </c>
      <c r="G35">
        <v>1</v>
      </c>
      <c r="H35">
        <v>0</v>
      </c>
      <c r="I35">
        <v>0.8</v>
      </c>
      <c r="J35" t="s">
        <v>27</v>
      </c>
      <c r="K35" s="1">
        <f>Table1[[#This Row],[Weight_kg]]/((Table1[[#This Row],[Height_cm]]/100)^2)</f>
        <v>15.304371025015923</v>
      </c>
      <c r="L35" t="str">
        <f>IF(Table1[[#This Row],[BMI]]&lt;18.5,"Under Weight",IF(Table1[[#This Row],[BMI]]&lt;24.5,"Healthy Weight",IF(Table1[[#This Row],[BMI]]&lt;=29.9,"Over weight","Obese")))</f>
        <v>Under Weight</v>
      </c>
    </row>
    <row r="36" spans="1:12" x14ac:dyDescent="0.3">
      <c r="A36" t="s">
        <v>51</v>
      </c>
      <c r="B36">
        <v>30</v>
      </c>
      <c r="C36" t="s">
        <v>11</v>
      </c>
      <c r="D36">
        <v>93.15</v>
      </c>
      <c r="E36">
        <v>14.24</v>
      </c>
      <c r="F36">
        <v>1</v>
      </c>
      <c r="G36">
        <v>1</v>
      </c>
      <c r="H36">
        <v>2</v>
      </c>
      <c r="I36">
        <v>1.3</v>
      </c>
      <c r="J36" t="s">
        <v>14</v>
      </c>
      <c r="K36" s="1">
        <f>Table1[[#This Row],[Weight_kg]]/((Table1[[#This Row],[Height_cm]]/100)^2)</f>
        <v>16.411348608910586</v>
      </c>
      <c r="L36" t="str">
        <f>IF(Table1[[#This Row],[BMI]]&lt;18.5,"Under Weight",IF(Table1[[#This Row],[BMI]]&lt;24.5,"Healthy Weight",IF(Table1[[#This Row],[BMI]]&lt;=29.9,"Over weight","Obese")))</f>
        <v>Under Weight</v>
      </c>
    </row>
    <row r="37" spans="1:12" x14ac:dyDescent="0.3">
      <c r="A37" t="s">
        <v>52</v>
      </c>
      <c r="B37">
        <v>44</v>
      </c>
      <c r="C37" t="s">
        <v>11</v>
      </c>
      <c r="D37">
        <v>102.36</v>
      </c>
      <c r="E37">
        <v>19.600000000000001</v>
      </c>
      <c r="F37">
        <v>1</v>
      </c>
      <c r="G37">
        <v>2</v>
      </c>
      <c r="H37">
        <v>0</v>
      </c>
      <c r="I37">
        <v>0.9</v>
      </c>
      <c r="J37" t="s">
        <v>27</v>
      </c>
      <c r="K37" s="1">
        <f>Table1[[#This Row],[Weight_kg]]/((Table1[[#This Row],[Height_cm]]/100)^2)</f>
        <v>18.706628300517327</v>
      </c>
      <c r="L37" t="str">
        <f>IF(Table1[[#This Row],[BMI]]&lt;18.5,"Under Weight",IF(Table1[[#This Row],[BMI]]&lt;24.5,"Healthy Weight",IF(Table1[[#This Row],[BMI]]&lt;=29.9,"Over weight","Obese")))</f>
        <v>Healthy Weight</v>
      </c>
    </row>
    <row r="38" spans="1:12" x14ac:dyDescent="0.3">
      <c r="A38" t="s">
        <v>53</v>
      </c>
      <c r="B38">
        <v>43</v>
      </c>
      <c r="C38" t="s">
        <v>11</v>
      </c>
      <c r="D38">
        <v>105.34</v>
      </c>
      <c r="E38">
        <v>14.14</v>
      </c>
      <c r="F38">
        <v>4</v>
      </c>
      <c r="G38">
        <v>3</v>
      </c>
      <c r="H38">
        <v>0</v>
      </c>
      <c r="I38">
        <v>0.8</v>
      </c>
      <c r="J38" t="s">
        <v>20</v>
      </c>
      <c r="K38" s="1">
        <f>Table1[[#This Row],[Weight_kg]]/((Table1[[#This Row],[Height_cm]]/100)^2)</f>
        <v>12.742738810730817</v>
      </c>
      <c r="L38" t="str">
        <f>IF(Table1[[#This Row],[BMI]]&lt;18.5,"Under Weight",IF(Table1[[#This Row],[BMI]]&lt;24.5,"Healthy Weight",IF(Table1[[#This Row],[BMI]]&lt;=29.9,"Over weight","Obese")))</f>
        <v>Under Weight</v>
      </c>
    </row>
    <row r="39" spans="1:12" x14ac:dyDescent="0.3">
      <c r="A39" t="s">
        <v>54</v>
      </c>
      <c r="B39">
        <v>31</v>
      </c>
      <c r="C39" t="s">
        <v>11</v>
      </c>
      <c r="D39">
        <v>96.26</v>
      </c>
      <c r="E39">
        <v>17.63</v>
      </c>
      <c r="F39">
        <v>3</v>
      </c>
      <c r="G39">
        <v>3</v>
      </c>
      <c r="H39">
        <v>2</v>
      </c>
      <c r="I39">
        <v>1.7</v>
      </c>
      <c r="J39" t="s">
        <v>20</v>
      </c>
      <c r="K39" s="1">
        <f>Table1[[#This Row],[Weight_kg]]/((Table1[[#This Row],[Height_cm]]/100)^2)</f>
        <v>19.026574134418222</v>
      </c>
      <c r="L39" t="str">
        <f>IF(Table1[[#This Row],[BMI]]&lt;18.5,"Under Weight",IF(Table1[[#This Row],[BMI]]&lt;24.5,"Healthy Weight",IF(Table1[[#This Row],[BMI]]&lt;=29.9,"Over weight","Obese")))</f>
        <v>Healthy Weight</v>
      </c>
    </row>
    <row r="40" spans="1:12" x14ac:dyDescent="0.3">
      <c r="A40" t="s">
        <v>55</v>
      </c>
      <c r="B40">
        <v>28</v>
      </c>
      <c r="C40" t="s">
        <v>19</v>
      </c>
      <c r="D40">
        <v>97.25</v>
      </c>
      <c r="E40">
        <v>14.98</v>
      </c>
      <c r="F40">
        <v>3</v>
      </c>
      <c r="G40">
        <v>4</v>
      </c>
      <c r="H40">
        <v>3</v>
      </c>
      <c r="I40">
        <v>3.2</v>
      </c>
      <c r="J40" t="s">
        <v>14</v>
      </c>
      <c r="K40" s="1">
        <f>Table1[[#This Row],[Weight_kg]]/((Table1[[#This Row],[Height_cm]]/100)^2)</f>
        <v>15.839176320537135</v>
      </c>
      <c r="L40" t="str">
        <f>IF(Table1[[#This Row],[BMI]]&lt;18.5,"Under Weight",IF(Table1[[#This Row],[BMI]]&lt;24.5,"Healthy Weight",IF(Table1[[#This Row],[BMI]]&lt;=29.9,"Over weight","Obese")))</f>
        <v>Under Weight</v>
      </c>
    </row>
    <row r="41" spans="1:12" x14ac:dyDescent="0.3">
      <c r="A41" t="s">
        <v>56</v>
      </c>
      <c r="B41">
        <v>48</v>
      </c>
      <c r="C41" t="s">
        <v>19</v>
      </c>
      <c r="D41">
        <v>108.23</v>
      </c>
      <c r="E41">
        <v>21</v>
      </c>
      <c r="F41">
        <v>3</v>
      </c>
      <c r="G41">
        <v>4</v>
      </c>
      <c r="H41">
        <v>0</v>
      </c>
      <c r="I41">
        <v>0.6</v>
      </c>
      <c r="J41" t="s">
        <v>14</v>
      </c>
      <c r="K41" s="1">
        <f>Table1[[#This Row],[Weight_kg]]/((Table1[[#This Row],[Height_cm]]/100)^2)</f>
        <v>17.927675301525785</v>
      </c>
      <c r="L41" t="str">
        <f>IF(Table1[[#This Row],[BMI]]&lt;18.5,"Under Weight",IF(Table1[[#This Row],[BMI]]&lt;24.5,"Healthy Weight",IF(Table1[[#This Row],[BMI]]&lt;=29.9,"Over weight","Obese")))</f>
        <v>Under Weight</v>
      </c>
    </row>
    <row r="42" spans="1:12" x14ac:dyDescent="0.3">
      <c r="A42" t="s">
        <v>57</v>
      </c>
      <c r="B42">
        <v>27</v>
      </c>
      <c r="C42" t="s">
        <v>19</v>
      </c>
      <c r="D42">
        <v>97</v>
      </c>
      <c r="E42">
        <v>15.12</v>
      </c>
      <c r="F42">
        <v>4</v>
      </c>
      <c r="G42">
        <v>0</v>
      </c>
      <c r="H42">
        <v>1</v>
      </c>
      <c r="I42">
        <v>1.7</v>
      </c>
      <c r="J42" t="s">
        <v>24</v>
      </c>
      <c r="K42" s="1">
        <f>Table1[[#This Row],[Weight_kg]]/((Table1[[#This Row],[Height_cm]]/100)^2)</f>
        <v>16.069720480391116</v>
      </c>
      <c r="L42" t="str">
        <f>IF(Table1[[#This Row],[BMI]]&lt;18.5,"Under Weight",IF(Table1[[#This Row],[BMI]]&lt;24.5,"Healthy Weight",IF(Table1[[#This Row],[BMI]]&lt;=29.9,"Over weight","Obese")))</f>
        <v>Under Weight</v>
      </c>
    </row>
    <row r="43" spans="1:12" x14ac:dyDescent="0.3">
      <c r="A43" t="s">
        <v>58</v>
      </c>
      <c r="B43">
        <v>45</v>
      </c>
      <c r="C43" t="s">
        <v>19</v>
      </c>
      <c r="D43">
        <v>107.27</v>
      </c>
      <c r="E43">
        <v>22.7</v>
      </c>
      <c r="F43">
        <v>4</v>
      </c>
      <c r="G43">
        <v>0</v>
      </c>
      <c r="H43">
        <v>0</v>
      </c>
      <c r="I43">
        <v>0.8</v>
      </c>
      <c r="J43" t="s">
        <v>12</v>
      </c>
      <c r="K43" s="1">
        <f>Table1[[#This Row],[Weight_kg]]/((Table1[[#This Row],[Height_cm]]/100)^2)</f>
        <v>19.727374806364303</v>
      </c>
      <c r="L43" t="str">
        <f>IF(Table1[[#This Row],[BMI]]&lt;18.5,"Under Weight",IF(Table1[[#This Row],[BMI]]&lt;24.5,"Healthy Weight",IF(Table1[[#This Row],[BMI]]&lt;=29.9,"Over weight","Obese")))</f>
        <v>Healthy Weight</v>
      </c>
    </row>
    <row r="44" spans="1:12" x14ac:dyDescent="0.3">
      <c r="A44" t="s">
        <v>59</v>
      </c>
      <c r="B44">
        <v>54</v>
      </c>
      <c r="C44" t="s">
        <v>19</v>
      </c>
      <c r="D44">
        <v>112.46</v>
      </c>
      <c r="E44">
        <v>21.36</v>
      </c>
      <c r="F44">
        <v>2</v>
      </c>
      <c r="G44">
        <v>0</v>
      </c>
      <c r="H44">
        <v>1</v>
      </c>
      <c r="I44">
        <v>1</v>
      </c>
      <c r="J44" t="s">
        <v>14</v>
      </c>
      <c r="K44" s="1">
        <f>Table1[[#This Row],[Weight_kg]]/((Table1[[#This Row],[Height_cm]]/100)^2)</f>
        <v>16.889044889405064</v>
      </c>
      <c r="L44" t="str">
        <f>IF(Table1[[#This Row],[BMI]]&lt;18.5,"Under Weight",IF(Table1[[#This Row],[BMI]]&lt;24.5,"Healthy Weight",IF(Table1[[#This Row],[BMI]]&lt;=29.9,"Over weight","Obese")))</f>
        <v>Under Weight</v>
      </c>
    </row>
    <row r="45" spans="1:12" x14ac:dyDescent="0.3">
      <c r="A45" t="s">
        <v>60</v>
      </c>
      <c r="B45">
        <v>40</v>
      </c>
      <c r="C45" t="s">
        <v>19</v>
      </c>
      <c r="D45">
        <v>103.32</v>
      </c>
      <c r="E45">
        <v>17.41</v>
      </c>
      <c r="F45">
        <v>1</v>
      </c>
      <c r="G45">
        <v>0</v>
      </c>
      <c r="H45">
        <v>2</v>
      </c>
      <c r="I45">
        <v>2</v>
      </c>
      <c r="J45" t="s">
        <v>20</v>
      </c>
      <c r="K45" s="1">
        <f>Table1[[#This Row],[Weight_kg]]/((Table1[[#This Row],[Height_cm]]/100)^2)</f>
        <v>16.309099267089127</v>
      </c>
      <c r="L45" t="str">
        <f>IF(Table1[[#This Row],[BMI]]&lt;18.5,"Under Weight",IF(Table1[[#This Row],[BMI]]&lt;24.5,"Healthy Weight",IF(Table1[[#This Row],[BMI]]&lt;=29.9,"Over weight","Obese")))</f>
        <v>Under Weight</v>
      </c>
    </row>
    <row r="46" spans="1:12" x14ac:dyDescent="0.3">
      <c r="A46" t="s">
        <v>61</v>
      </c>
      <c r="B46">
        <v>52</v>
      </c>
      <c r="C46" t="s">
        <v>11</v>
      </c>
      <c r="D46">
        <v>107.31</v>
      </c>
      <c r="E46">
        <v>17.34</v>
      </c>
      <c r="F46">
        <v>1</v>
      </c>
      <c r="G46">
        <v>3</v>
      </c>
      <c r="H46">
        <v>0</v>
      </c>
      <c r="I46">
        <v>0.5</v>
      </c>
      <c r="J46" t="s">
        <v>24</v>
      </c>
      <c r="K46" s="1">
        <f>Table1[[#This Row],[Weight_kg]]/((Table1[[#This Row],[Height_cm]]/100)^2)</f>
        <v>15.058048908803379</v>
      </c>
      <c r="L46" t="str">
        <f>IF(Table1[[#This Row],[BMI]]&lt;18.5,"Under Weight",IF(Table1[[#This Row],[BMI]]&lt;24.5,"Healthy Weight",IF(Table1[[#This Row],[BMI]]&lt;=29.9,"Over weight","Obese")))</f>
        <v>Under Weight</v>
      </c>
    </row>
    <row r="47" spans="1:12" x14ac:dyDescent="0.3">
      <c r="A47" t="s">
        <v>62</v>
      </c>
      <c r="B47">
        <v>34</v>
      </c>
      <c r="C47" t="s">
        <v>19</v>
      </c>
      <c r="D47">
        <v>99.12</v>
      </c>
      <c r="E47">
        <v>17.43</v>
      </c>
      <c r="F47">
        <v>3</v>
      </c>
      <c r="G47">
        <v>4</v>
      </c>
      <c r="H47">
        <v>3</v>
      </c>
      <c r="I47">
        <v>1.6</v>
      </c>
      <c r="J47" t="s">
        <v>12</v>
      </c>
      <c r="K47" s="1">
        <f>Table1[[#This Row],[Weight_kg]]/((Table1[[#This Row],[Height_cm]]/100)^2)</f>
        <v>17.740865378038603</v>
      </c>
      <c r="L47" t="str">
        <f>IF(Table1[[#This Row],[BMI]]&lt;18.5,"Under Weight",IF(Table1[[#This Row],[BMI]]&lt;24.5,"Healthy Weight",IF(Table1[[#This Row],[BMI]]&lt;=29.9,"Over weight","Obese")))</f>
        <v>Under Weight</v>
      </c>
    </row>
    <row r="48" spans="1:12" x14ac:dyDescent="0.3">
      <c r="A48" t="s">
        <v>63</v>
      </c>
      <c r="B48">
        <v>27</v>
      </c>
      <c r="C48" t="s">
        <v>19</v>
      </c>
      <c r="D48">
        <v>93.16</v>
      </c>
      <c r="E48">
        <v>15.53</v>
      </c>
      <c r="F48">
        <v>2</v>
      </c>
      <c r="G48">
        <v>2</v>
      </c>
      <c r="H48">
        <v>0</v>
      </c>
      <c r="I48">
        <v>0.8</v>
      </c>
      <c r="J48" t="s">
        <v>14</v>
      </c>
      <c r="K48" s="1">
        <f>Table1[[#This Row],[Weight_kg]]/((Table1[[#This Row],[Height_cm]]/100)^2)</f>
        <v>17.89420860909388</v>
      </c>
      <c r="L48" t="str">
        <f>IF(Table1[[#This Row],[BMI]]&lt;18.5,"Under Weight",IF(Table1[[#This Row],[BMI]]&lt;24.5,"Healthy Weight",IF(Table1[[#This Row],[BMI]]&lt;=29.9,"Over weight","Obese")))</f>
        <v>Under Weight</v>
      </c>
    </row>
    <row r="49" spans="1:12" x14ac:dyDescent="0.3">
      <c r="A49" t="s">
        <v>64</v>
      </c>
      <c r="B49">
        <v>55</v>
      </c>
      <c r="C49" t="s">
        <v>19</v>
      </c>
      <c r="D49">
        <v>111.49</v>
      </c>
      <c r="E49">
        <v>20.23</v>
      </c>
      <c r="F49">
        <v>1</v>
      </c>
      <c r="G49">
        <v>0</v>
      </c>
      <c r="H49">
        <v>1</v>
      </c>
      <c r="I49">
        <v>1.6</v>
      </c>
      <c r="J49" t="s">
        <v>24</v>
      </c>
      <c r="K49" s="1">
        <f>Table1[[#This Row],[Weight_kg]]/((Table1[[#This Row],[Height_cm]]/100)^2)</f>
        <v>16.27511447065158</v>
      </c>
      <c r="L49" t="str">
        <f>IF(Table1[[#This Row],[BMI]]&lt;18.5,"Under Weight",IF(Table1[[#This Row],[BMI]]&lt;24.5,"Healthy Weight",IF(Table1[[#This Row],[BMI]]&lt;=29.9,"Over weight","Obese")))</f>
        <v>Under Weight</v>
      </c>
    </row>
    <row r="50" spans="1:12" x14ac:dyDescent="0.3">
      <c r="A50" t="s">
        <v>65</v>
      </c>
      <c r="B50">
        <v>42</v>
      </c>
      <c r="C50" t="s">
        <v>11</v>
      </c>
      <c r="D50">
        <v>108.71</v>
      </c>
      <c r="E50">
        <v>16.2</v>
      </c>
      <c r="F50">
        <v>2</v>
      </c>
      <c r="G50">
        <v>1</v>
      </c>
      <c r="H50">
        <v>3</v>
      </c>
      <c r="I50">
        <v>1.1000000000000001</v>
      </c>
      <c r="J50" t="s">
        <v>24</v>
      </c>
      <c r="K50" s="1">
        <f>Table1[[#This Row],[Weight_kg]]/((Table1[[#This Row],[Height_cm]]/100)^2)</f>
        <v>13.708060833090812</v>
      </c>
      <c r="L50" t="str">
        <f>IF(Table1[[#This Row],[BMI]]&lt;18.5,"Under Weight",IF(Table1[[#This Row],[BMI]]&lt;24.5,"Healthy Weight",IF(Table1[[#This Row],[BMI]]&lt;=29.9,"Over weight","Obese")))</f>
        <v>Under Weight</v>
      </c>
    </row>
    <row r="51" spans="1:12" x14ac:dyDescent="0.3">
      <c r="A51" t="s">
        <v>66</v>
      </c>
      <c r="B51">
        <v>36</v>
      </c>
      <c r="C51" t="s">
        <v>11</v>
      </c>
      <c r="D51">
        <v>97.21</v>
      </c>
      <c r="E51">
        <v>13.41</v>
      </c>
      <c r="F51">
        <v>4</v>
      </c>
      <c r="G51">
        <v>3</v>
      </c>
      <c r="H51">
        <v>1</v>
      </c>
      <c r="I51">
        <v>0.9</v>
      </c>
      <c r="J51" t="s">
        <v>14</v>
      </c>
      <c r="K51" s="1">
        <f>Table1[[#This Row],[Weight_kg]]/((Table1[[#This Row],[Height_cm]]/100)^2)</f>
        <v>14.190800401461026</v>
      </c>
      <c r="L51" t="str">
        <f>IF(Table1[[#This Row],[BMI]]&lt;18.5,"Under Weight",IF(Table1[[#This Row],[BMI]]&lt;24.5,"Healthy Weight",IF(Table1[[#This Row],[BMI]]&lt;=29.9,"Over weight","Obese")))</f>
        <v>Under Weight</v>
      </c>
    </row>
    <row r="52" spans="1:12" x14ac:dyDescent="0.3">
      <c r="A52" t="s">
        <v>67</v>
      </c>
      <c r="B52">
        <v>34</v>
      </c>
      <c r="C52" t="s">
        <v>11</v>
      </c>
      <c r="D52">
        <v>98.46</v>
      </c>
      <c r="E52">
        <v>15.38</v>
      </c>
      <c r="F52">
        <v>3</v>
      </c>
      <c r="G52">
        <v>2</v>
      </c>
      <c r="H52">
        <v>2</v>
      </c>
      <c r="I52">
        <v>1.2</v>
      </c>
      <c r="J52" t="s">
        <v>12</v>
      </c>
      <c r="K52" s="1">
        <f>Table1[[#This Row],[Weight_kg]]/((Table1[[#This Row],[Height_cm]]/100)^2)</f>
        <v>15.864875656303504</v>
      </c>
      <c r="L52" t="str">
        <f>IF(Table1[[#This Row],[BMI]]&lt;18.5,"Under Weight",IF(Table1[[#This Row],[BMI]]&lt;24.5,"Healthy Weight",IF(Table1[[#This Row],[BMI]]&lt;=29.9,"Over weight","Obese")))</f>
        <v>Under Weight</v>
      </c>
    </row>
    <row r="53" spans="1:12" x14ac:dyDescent="0.3">
      <c r="A53" t="s">
        <v>68</v>
      </c>
      <c r="B53">
        <v>40</v>
      </c>
      <c r="C53" t="s">
        <v>11</v>
      </c>
      <c r="D53">
        <v>100.6</v>
      </c>
      <c r="E53">
        <v>17.309999999999999</v>
      </c>
      <c r="F53">
        <v>0</v>
      </c>
      <c r="G53">
        <v>3</v>
      </c>
      <c r="H53">
        <v>0</v>
      </c>
      <c r="I53">
        <v>0.6</v>
      </c>
      <c r="J53" t="s">
        <v>27</v>
      </c>
      <c r="K53" s="1">
        <f>Table1[[#This Row],[Weight_kg]]/((Table1[[#This Row],[Height_cm]]/100)^2)</f>
        <v>17.104134635526798</v>
      </c>
      <c r="L53" t="str">
        <f>IF(Table1[[#This Row],[BMI]]&lt;18.5,"Under Weight",IF(Table1[[#This Row],[BMI]]&lt;24.5,"Healthy Weight",IF(Table1[[#This Row],[BMI]]&lt;=29.9,"Over weight","Obese")))</f>
        <v>Under Weight</v>
      </c>
    </row>
    <row r="54" spans="1:12" x14ac:dyDescent="0.3">
      <c r="A54" t="s">
        <v>69</v>
      </c>
      <c r="B54">
        <v>39</v>
      </c>
      <c r="C54" t="s">
        <v>11</v>
      </c>
      <c r="D54">
        <v>96.54</v>
      </c>
      <c r="E54">
        <v>18.239999999999998</v>
      </c>
      <c r="F54">
        <v>4</v>
      </c>
      <c r="G54">
        <v>3</v>
      </c>
      <c r="H54">
        <v>1</v>
      </c>
      <c r="I54">
        <v>1.9</v>
      </c>
      <c r="J54" t="s">
        <v>27</v>
      </c>
      <c r="K54" s="1">
        <f>Table1[[#This Row],[Weight_kg]]/((Table1[[#This Row],[Height_cm]]/100)^2)</f>
        <v>19.570875087215928</v>
      </c>
      <c r="L54" t="str">
        <f>IF(Table1[[#This Row],[BMI]]&lt;18.5,"Under Weight",IF(Table1[[#This Row],[BMI]]&lt;24.5,"Healthy Weight",IF(Table1[[#This Row],[BMI]]&lt;=29.9,"Over weight","Obese")))</f>
        <v>Healthy Weight</v>
      </c>
    </row>
    <row r="55" spans="1:12" x14ac:dyDescent="0.3">
      <c r="A55" t="s">
        <v>70</v>
      </c>
      <c r="B55">
        <v>57</v>
      </c>
      <c r="C55" t="s">
        <v>19</v>
      </c>
      <c r="D55">
        <v>110.58</v>
      </c>
      <c r="E55">
        <v>21.99</v>
      </c>
      <c r="F55">
        <v>3</v>
      </c>
      <c r="G55">
        <v>0</v>
      </c>
      <c r="H55">
        <v>0</v>
      </c>
      <c r="I55">
        <v>0.9</v>
      </c>
      <c r="J55" t="s">
        <v>12</v>
      </c>
      <c r="K55" s="1">
        <f>Table1[[#This Row],[Weight_kg]]/((Table1[[#This Row],[Height_cm]]/100)^2)</f>
        <v>17.983410512341237</v>
      </c>
      <c r="L55" t="str">
        <f>IF(Table1[[#This Row],[BMI]]&lt;18.5,"Under Weight",IF(Table1[[#This Row],[BMI]]&lt;24.5,"Healthy Weight",IF(Table1[[#This Row],[BMI]]&lt;=29.9,"Over weight","Obese")))</f>
        <v>Under Weight</v>
      </c>
    </row>
    <row r="56" spans="1:12" x14ac:dyDescent="0.3">
      <c r="A56" t="s">
        <v>71</v>
      </c>
      <c r="B56">
        <v>50</v>
      </c>
      <c r="C56" t="s">
        <v>11</v>
      </c>
      <c r="D56">
        <v>114.47</v>
      </c>
      <c r="E56">
        <v>18.010000000000002</v>
      </c>
      <c r="F56">
        <v>1</v>
      </c>
      <c r="G56">
        <v>3</v>
      </c>
      <c r="H56">
        <v>0</v>
      </c>
      <c r="I56">
        <v>0.6</v>
      </c>
      <c r="J56" t="s">
        <v>24</v>
      </c>
      <c r="K56" s="1">
        <f>Table1[[#This Row],[Weight_kg]]/((Table1[[#This Row],[Height_cm]]/100)^2)</f>
        <v>13.744544356487417</v>
      </c>
      <c r="L56" t="str">
        <f>IF(Table1[[#This Row],[BMI]]&lt;18.5,"Under Weight",IF(Table1[[#This Row],[BMI]]&lt;24.5,"Healthy Weight",IF(Table1[[#This Row],[BMI]]&lt;=29.9,"Over weight","Obese")))</f>
        <v>Under Weight</v>
      </c>
    </row>
    <row r="57" spans="1:12" x14ac:dyDescent="0.3">
      <c r="A57" t="s">
        <v>72</v>
      </c>
      <c r="B57">
        <v>31</v>
      </c>
      <c r="C57" t="s">
        <v>11</v>
      </c>
      <c r="D57">
        <v>96.28</v>
      </c>
      <c r="E57">
        <v>16.84</v>
      </c>
      <c r="F57">
        <v>4</v>
      </c>
      <c r="G57">
        <v>2</v>
      </c>
      <c r="H57">
        <v>3</v>
      </c>
      <c r="I57">
        <v>0.5</v>
      </c>
      <c r="J57" t="s">
        <v>20</v>
      </c>
      <c r="K57" s="1">
        <f>Table1[[#This Row],[Weight_kg]]/((Table1[[#This Row],[Height_cm]]/100)^2)</f>
        <v>18.166443980296357</v>
      </c>
      <c r="L57" t="str">
        <f>IF(Table1[[#This Row],[BMI]]&lt;18.5,"Under Weight",IF(Table1[[#This Row],[BMI]]&lt;24.5,"Healthy Weight",IF(Table1[[#This Row],[BMI]]&lt;=29.9,"Over weight","Obese")))</f>
        <v>Under Weight</v>
      </c>
    </row>
    <row r="58" spans="1:12" x14ac:dyDescent="0.3">
      <c r="A58" t="s">
        <v>73</v>
      </c>
      <c r="B58">
        <v>44</v>
      </c>
      <c r="C58" t="s">
        <v>11</v>
      </c>
      <c r="D58">
        <v>104.76</v>
      </c>
      <c r="E58">
        <v>18.399999999999999</v>
      </c>
      <c r="F58">
        <v>4</v>
      </c>
      <c r="G58">
        <v>2</v>
      </c>
      <c r="H58">
        <v>1</v>
      </c>
      <c r="I58">
        <v>0.7</v>
      </c>
      <c r="J58" t="s">
        <v>12</v>
      </c>
      <c r="K58" s="1">
        <f>Table1[[#This Row],[Weight_kg]]/((Table1[[#This Row],[Height_cm]]/100)^2)</f>
        <v>16.765898919707524</v>
      </c>
      <c r="L58" t="str">
        <f>IF(Table1[[#This Row],[BMI]]&lt;18.5,"Under Weight",IF(Table1[[#This Row],[BMI]]&lt;24.5,"Healthy Weight",IF(Table1[[#This Row],[BMI]]&lt;=29.9,"Over weight","Obese")))</f>
        <v>Under Weight</v>
      </c>
    </row>
    <row r="59" spans="1:12" x14ac:dyDescent="0.3">
      <c r="A59" t="s">
        <v>74</v>
      </c>
      <c r="B59">
        <v>42</v>
      </c>
      <c r="C59" t="s">
        <v>19</v>
      </c>
      <c r="D59">
        <v>105.35</v>
      </c>
      <c r="E59">
        <v>19.88</v>
      </c>
      <c r="F59">
        <v>1</v>
      </c>
      <c r="G59">
        <v>2</v>
      </c>
      <c r="H59">
        <v>2</v>
      </c>
      <c r="I59">
        <v>2.8</v>
      </c>
      <c r="J59" t="s">
        <v>20</v>
      </c>
      <c r="K59" s="1">
        <f>Table1[[#This Row],[Weight_kg]]/((Table1[[#This Row],[Height_cm]]/100)^2)</f>
        <v>17.912132789452027</v>
      </c>
      <c r="L59" t="str">
        <f>IF(Table1[[#This Row],[BMI]]&lt;18.5,"Under Weight",IF(Table1[[#This Row],[BMI]]&lt;24.5,"Healthy Weight",IF(Table1[[#This Row],[BMI]]&lt;=29.9,"Over weight","Obese")))</f>
        <v>Under Weight</v>
      </c>
    </row>
    <row r="60" spans="1:12" x14ac:dyDescent="0.3">
      <c r="A60" t="s">
        <v>75</v>
      </c>
      <c r="B60">
        <v>59</v>
      </c>
      <c r="C60" t="s">
        <v>19</v>
      </c>
      <c r="D60">
        <v>110.75</v>
      </c>
      <c r="E60">
        <v>24.56</v>
      </c>
      <c r="F60">
        <v>4</v>
      </c>
      <c r="G60">
        <v>4</v>
      </c>
      <c r="H60">
        <v>1</v>
      </c>
      <c r="I60">
        <v>1.7</v>
      </c>
      <c r="J60" t="s">
        <v>12</v>
      </c>
      <c r="K60" s="1">
        <f>Table1[[#This Row],[Weight_kg]]/((Table1[[#This Row],[Height_cm]]/100)^2)</f>
        <v>20.023541521230683</v>
      </c>
      <c r="L60" t="str">
        <f>IF(Table1[[#This Row],[BMI]]&lt;18.5,"Under Weight",IF(Table1[[#This Row],[BMI]]&lt;24.5,"Healthy Weight",IF(Table1[[#This Row],[BMI]]&lt;=29.9,"Over weight","Obese")))</f>
        <v>Healthy Weight</v>
      </c>
    </row>
    <row r="61" spans="1:12" x14ac:dyDescent="0.3">
      <c r="A61" t="s">
        <v>76</v>
      </c>
      <c r="B61">
        <v>56</v>
      </c>
      <c r="C61" t="s">
        <v>19</v>
      </c>
      <c r="D61">
        <v>108</v>
      </c>
      <c r="E61">
        <v>22.24</v>
      </c>
      <c r="F61">
        <v>2</v>
      </c>
      <c r="G61">
        <v>4</v>
      </c>
      <c r="H61">
        <v>2</v>
      </c>
      <c r="I61">
        <v>1.1000000000000001</v>
      </c>
      <c r="J61" t="s">
        <v>14</v>
      </c>
      <c r="K61" s="1">
        <f>Table1[[#This Row],[Weight_kg]]/((Table1[[#This Row],[Height_cm]]/100)^2)</f>
        <v>19.067215363511657</v>
      </c>
      <c r="L61" t="str">
        <f>IF(Table1[[#This Row],[BMI]]&lt;18.5,"Under Weight",IF(Table1[[#This Row],[BMI]]&lt;24.5,"Healthy Weight",IF(Table1[[#This Row],[BMI]]&lt;=29.9,"Over weight","Obese")))</f>
        <v>Healthy Weight</v>
      </c>
    </row>
    <row r="62" spans="1:12" x14ac:dyDescent="0.3">
      <c r="A62" t="s">
        <v>77</v>
      </c>
      <c r="B62">
        <v>32</v>
      </c>
      <c r="C62" t="s">
        <v>11</v>
      </c>
      <c r="D62">
        <v>98.63</v>
      </c>
      <c r="E62">
        <v>17.96</v>
      </c>
      <c r="F62">
        <v>0</v>
      </c>
      <c r="G62">
        <v>0</v>
      </c>
      <c r="H62">
        <v>2</v>
      </c>
      <c r="I62">
        <v>2.6</v>
      </c>
      <c r="J62" t="s">
        <v>24</v>
      </c>
      <c r="K62" s="1">
        <f>Table1[[#This Row],[Weight_kg]]/((Table1[[#This Row],[Height_cm]]/100)^2)</f>
        <v>18.462404679483562</v>
      </c>
      <c r="L62" t="str">
        <f>IF(Table1[[#This Row],[BMI]]&lt;18.5,"Under Weight",IF(Table1[[#This Row],[BMI]]&lt;24.5,"Healthy Weight",IF(Table1[[#This Row],[BMI]]&lt;=29.9,"Over weight","Obese")))</f>
        <v>Under Weight</v>
      </c>
    </row>
    <row r="63" spans="1:12" x14ac:dyDescent="0.3">
      <c r="A63" t="s">
        <v>78</v>
      </c>
      <c r="B63">
        <v>47</v>
      </c>
      <c r="C63" t="s">
        <v>11</v>
      </c>
      <c r="D63">
        <v>103.57</v>
      </c>
      <c r="E63">
        <v>22.13</v>
      </c>
      <c r="F63">
        <v>3</v>
      </c>
      <c r="G63">
        <v>2</v>
      </c>
      <c r="H63">
        <v>0</v>
      </c>
      <c r="I63">
        <v>0.6</v>
      </c>
      <c r="J63" t="s">
        <v>12</v>
      </c>
      <c r="K63" s="1">
        <f>Table1[[#This Row],[Weight_kg]]/((Table1[[#This Row],[Height_cm]]/100)^2)</f>
        <v>20.630676133633052</v>
      </c>
      <c r="L63" t="str">
        <f>IF(Table1[[#This Row],[BMI]]&lt;18.5,"Under Weight",IF(Table1[[#This Row],[BMI]]&lt;24.5,"Healthy Weight",IF(Table1[[#This Row],[BMI]]&lt;=29.9,"Over weight","Obese")))</f>
        <v>Healthy Weight</v>
      </c>
    </row>
    <row r="64" spans="1:12" x14ac:dyDescent="0.3">
      <c r="A64" t="s">
        <v>79</v>
      </c>
      <c r="B64">
        <v>28</v>
      </c>
      <c r="C64" t="s">
        <v>19</v>
      </c>
      <c r="D64">
        <v>92.72</v>
      </c>
      <c r="E64">
        <v>15.7</v>
      </c>
      <c r="F64">
        <v>4</v>
      </c>
      <c r="G64">
        <v>0</v>
      </c>
      <c r="H64">
        <v>1</v>
      </c>
      <c r="I64">
        <v>0.5</v>
      </c>
      <c r="J64" t="s">
        <v>24</v>
      </c>
      <c r="K64" s="1">
        <f>Table1[[#This Row],[Weight_kg]]/((Table1[[#This Row],[Height_cm]]/100)^2)</f>
        <v>18.26218788176115</v>
      </c>
      <c r="L64" t="str">
        <f>IF(Table1[[#This Row],[BMI]]&lt;18.5,"Under Weight",IF(Table1[[#This Row],[BMI]]&lt;24.5,"Healthy Weight",IF(Table1[[#This Row],[BMI]]&lt;=29.9,"Over weight","Obese")))</f>
        <v>Under Weight</v>
      </c>
    </row>
    <row r="65" spans="1:12" x14ac:dyDescent="0.3">
      <c r="A65" t="s">
        <v>80</v>
      </c>
      <c r="B65">
        <v>56</v>
      </c>
      <c r="C65" t="s">
        <v>19</v>
      </c>
      <c r="D65">
        <v>113.3</v>
      </c>
      <c r="E65">
        <v>20.45</v>
      </c>
      <c r="F65">
        <v>2</v>
      </c>
      <c r="G65">
        <v>2</v>
      </c>
      <c r="H65">
        <v>2</v>
      </c>
      <c r="I65">
        <v>0.5</v>
      </c>
      <c r="J65" t="s">
        <v>27</v>
      </c>
      <c r="K65" s="1">
        <f>Table1[[#This Row],[Weight_kg]]/((Table1[[#This Row],[Height_cm]]/100)^2)</f>
        <v>15.930649869244029</v>
      </c>
      <c r="L65" t="str">
        <f>IF(Table1[[#This Row],[BMI]]&lt;18.5,"Under Weight",IF(Table1[[#This Row],[BMI]]&lt;24.5,"Healthy Weight",IF(Table1[[#This Row],[BMI]]&lt;=29.9,"Over weight","Obese")))</f>
        <v>Under Weight</v>
      </c>
    </row>
    <row r="66" spans="1:12" x14ac:dyDescent="0.3">
      <c r="A66" t="s">
        <v>81</v>
      </c>
      <c r="B66">
        <v>38</v>
      </c>
      <c r="C66" t="s">
        <v>19</v>
      </c>
      <c r="D66">
        <v>104.84</v>
      </c>
      <c r="E66">
        <v>19.829999999999998</v>
      </c>
      <c r="F66">
        <v>4</v>
      </c>
      <c r="G66">
        <v>0</v>
      </c>
      <c r="H66">
        <v>0</v>
      </c>
      <c r="I66">
        <v>0.8</v>
      </c>
      <c r="J66" t="s">
        <v>24</v>
      </c>
      <c r="K66" s="1">
        <f>Table1[[#This Row],[Weight_kg]]/((Table1[[#This Row],[Height_cm]]/100)^2)</f>
        <v>18.041335784504604</v>
      </c>
      <c r="L66" t="str">
        <f>IF(Table1[[#This Row],[BMI]]&lt;18.5,"Under Weight",IF(Table1[[#This Row],[BMI]]&lt;24.5,"Healthy Weight",IF(Table1[[#This Row],[BMI]]&lt;=29.9,"Over weight","Obese")))</f>
        <v>Under Weight</v>
      </c>
    </row>
    <row r="67" spans="1:12" x14ac:dyDescent="0.3">
      <c r="A67" t="s">
        <v>82</v>
      </c>
      <c r="B67">
        <v>50</v>
      </c>
      <c r="C67" t="s">
        <v>11</v>
      </c>
      <c r="D67">
        <v>104.56</v>
      </c>
      <c r="E67">
        <v>21.62</v>
      </c>
      <c r="F67">
        <v>4</v>
      </c>
      <c r="G67">
        <v>1</v>
      </c>
      <c r="H67">
        <v>1</v>
      </c>
      <c r="I67">
        <v>2</v>
      </c>
      <c r="J67" t="s">
        <v>12</v>
      </c>
      <c r="K67" s="1">
        <f>Table1[[#This Row],[Weight_kg]]/((Table1[[#This Row],[Height_cm]]/100)^2)</f>
        <v>19.775366471749727</v>
      </c>
      <c r="L67" t="str">
        <f>IF(Table1[[#This Row],[BMI]]&lt;18.5,"Under Weight",IF(Table1[[#This Row],[BMI]]&lt;24.5,"Healthy Weight",IF(Table1[[#This Row],[BMI]]&lt;=29.9,"Over weight","Obese")))</f>
        <v>Healthy Weight</v>
      </c>
    </row>
    <row r="68" spans="1:12" x14ac:dyDescent="0.3">
      <c r="A68" t="s">
        <v>83</v>
      </c>
      <c r="B68">
        <v>27</v>
      </c>
      <c r="C68" t="s">
        <v>19</v>
      </c>
      <c r="D68">
        <v>97.32</v>
      </c>
      <c r="E68">
        <v>16.28</v>
      </c>
      <c r="F68">
        <v>2</v>
      </c>
      <c r="G68">
        <v>4</v>
      </c>
      <c r="H68">
        <v>0</v>
      </c>
      <c r="I68">
        <v>0.8</v>
      </c>
      <c r="J68" t="s">
        <v>12</v>
      </c>
      <c r="K68" s="1">
        <f>Table1[[#This Row],[Weight_kg]]/((Table1[[#This Row],[Height_cm]]/100)^2)</f>
        <v>17.188983711262917</v>
      </c>
      <c r="L68" t="str">
        <f>IF(Table1[[#This Row],[BMI]]&lt;18.5,"Under Weight",IF(Table1[[#This Row],[BMI]]&lt;24.5,"Healthy Weight",IF(Table1[[#This Row],[BMI]]&lt;=29.9,"Over weight","Obese")))</f>
        <v>Under Weight</v>
      </c>
    </row>
    <row r="69" spans="1:12" x14ac:dyDescent="0.3">
      <c r="A69" t="s">
        <v>84</v>
      </c>
      <c r="B69">
        <v>32</v>
      </c>
      <c r="C69" t="s">
        <v>11</v>
      </c>
      <c r="D69">
        <v>103.58</v>
      </c>
      <c r="E69">
        <v>15.12</v>
      </c>
      <c r="F69">
        <v>4</v>
      </c>
      <c r="G69">
        <v>0</v>
      </c>
      <c r="H69">
        <v>2</v>
      </c>
      <c r="I69">
        <v>1.8</v>
      </c>
      <c r="J69" t="s">
        <v>20</v>
      </c>
      <c r="K69" s="1">
        <f>Table1[[#This Row],[Weight_kg]]/((Table1[[#This Row],[Height_cm]]/100)^2)</f>
        <v>14.092887263873765</v>
      </c>
      <c r="L69" t="str">
        <f>IF(Table1[[#This Row],[BMI]]&lt;18.5,"Under Weight",IF(Table1[[#This Row],[BMI]]&lt;24.5,"Healthy Weight",IF(Table1[[#This Row],[BMI]]&lt;=29.9,"Over weight","Obese")))</f>
        <v>Under Weight</v>
      </c>
    </row>
    <row r="70" spans="1:12" x14ac:dyDescent="0.3">
      <c r="A70" t="s">
        <v>85</v>
      </c>
      <c r="B70">
        <v>53</v>
      </c>
      <c r="C70" t="s">
        <v>19</v>
      </c>
      <c r="D70">
        <v>105.92</v>
      </c>
      <c r="E70">
        <v>22.98</v>
      </c>
      <c r="F70">
        <v>2</v>
      </c>
      <c r="G70">
        <v>0</v>
      </c>
      <c r="H70">
        <v>0</v>
      </c>
      <c r="I70">
        <v>0.8</v>
      </c>
      <c r="J70" t="s">
        <v>27</v>
      </c>
      <c r="K70" s="1">
        <f>Table1[[#This Row],[Weight_kg]]/((Table1[[#This Row],[Height_cm]]/100)^2)</f>
        <v>20.483024296966988</v>
      </c>
      <c r="L70" t="str">
        <f>IF(Table1[[#This Row],[BMI]]&lt;18.5,"Under Weight",IF(Table1[[#This Row],[BMI]]&lt;24.5,"Healthy Weight",IF(Table1[[#This Row],[BMI]]&lt;=29.9,"Over weight","Obese")))</f>
        <v>Healthy Weight</v>
      </c>
    </row>
    <row r="71" spans="1:12" x14ac:dyDescent="0.3">
      <c r="A71" t="s">
        <v>86</v>
      </c>
      <c r="B71">
        <v>33</v>
      </c>
      <c r="C71" t="s">
        <v>19</v>
      </c>
      <c r="D71">
        <v>104.76</v>
      </c>
      <c r="E71">
        <v>13.89</v>
      </c>
      <c r="F71">
        <v>3</v>
      </c>
      <c r="G71">
        <v>4</v>
      </c>
      <c r="H71">
        <v>0</v>
      </c>
      <c r="I71">
        <v>0.5</v>
      </c>
      <c r="J71" t="s">
        <v>20</v>
      </c>
      <c r="K71" s="1">
        <f>Table1[[#This Row],[Weight_kg]]/((Table1[[#This Row],[Height_cm]]/100)^2)</f>
        <v>12.656431304061822</v>
      </c>
      <c r="L71" t="str">
        <f>IF(Table1[[#This Row],[BMI]]&lt;18.5,"Under Weight",IF(Table1[[#This Row],[BMI]]&lt;24.5,"Healthy Weight",IF(Table1[[#This Row],[BMI]]&lt;=29.9,"Over weight","Obese")))</f>
        <v>Under Weight</v>
      </c>
    </row>
    <row r="72" spans="1:12" x14ac:dyDescent="0.3">
      <c r="A72" t="s">
        <v>87</v>
      </c>
      <c r="B72">
        <v>49</v>
      </c>
      <c r="C72" t="s">
        <v>19</v>
      </c>
      <c r="D72">
        <v>108.22</v>
      </c>
      <c r="E72">
        <v>19.55</v>
      </c>
      <c r="F72">
        <v>1</v>
      </c>
      <c r="G72">
        <v>1</v>
      </c>
      <c r="H72">
        <v>2</v>
      </c>
      <c r="I72">
        <v>1.6</v>
      </c>
      <c r="J72" t="s">
        <v>20</v>
      </c>
      <c r="K72" s="1">
        <f>Table1[[#This Row],[Weight_kg]]/((Table1[[#This Row],[Height_cm]]/100)^2)</f>
        <v>16.692896572247317</v>
      </c>
      <c r="L72" t="str">
        <f>IF(Table1[[#This Row],[BMI]]&lt;18.5,"Under Weight",IF(Table1[[#This Row],[BMI]]&lt;24.5,"Healthy Weight",IF(Table1[[#This Row],[BMI]]&lt;=29.9,"Over weight","Obese")))</f>
        <v>Under Weight</v>
      </c>
    </row>
    <row r="73" spans="1:12" x14ac:dyDescent="0.3">
      <c r="A73" t="s">
        <v>88</v>
      </c>
      <c r="B73">
        <v>32</v>
      </c>
      <c r="C73" t="s">
        <v>11</v>
      </c>
      <c r="D73">
        <v>97.69</v>
      </c>
      <c r="E73">
        <v>18.04</v>
      </c>
      <c r="F73">
        <v>3</v>
      </c>
      <c r="G73">
        <v>2</v>
      </c>
      <c r="H73">
        <v>2</v>
      </c>
      <c r="I73">
        <v>2.2000000000000002</v>
      </c>
      <c r="J73" t="s">
        <v>12</v>
      </c>
      <c r="K73" s="1">
        <f>Table1[[#This Row],[Weight_kg]]/((Table1[[#This Row],[Height_cm]]/100)^2)</f>
        <v>18.903242860743426</v>
      </c>
      <c r="L73" t="str">
        <f>IF(Table1[[#This Row],[BMI]]&lt;18.5,"Under Weight",IF(Table1[[#This Row],[BMI]]&lt;24.5,"Healthy Weight",IF(Table1[[#This Row],[BMI]]&lt;=29.9,"Over weight","Obese")))</f>
        <v>Healthy Weight</v>
      </c>
    </row>
    <row r="74" spans="1:12" x14ac:dyDescent="0.3">
      <c r="A74" t="s">
        <v>89</v>
      </c>
      <c r="B74">
        <v>52</v>
      </c>
      <c r="C74" t="s">
        <v>11</v>
      </c>
      <c r="D74">
        <v>104.99</v>
      </c>
      <c r="E74">
        <v>22.77</v>
      </c>
      <c r="F74">
        <v>3</v>
      </c>
      <c r="G74">
        <v>2</v>
      </c>
      <c r="H74">
        <v>1</v>
      </c>
      <c r="I74">
        <v>1.1000000000000001</v>
      </c>
      <c r="J74" t="s">
        <v>14</v>
      </c>
      <c r="K74" s="1">
        <f>Table1[[#This Row],[Weight_kg]]/((Table1[[#This Row],[Height_cm]]/100)^2)</f>
        <v>20.656995702972939</v>
      </c>
      <c r="L74" t="str">
        <f>IF(Table1[[#This Row],[BMI]]&lt;18.5,"Under Weight",IF(Table1[[#This Row],[BMI]]&lt;24.5,"Healthy Weight",IF(Table1[[#This Row],[BMI]]&lt;=29.9,"Over weight","Obese")))</f>
        <v>Healthy Weight</v>
      </c>
    </row>
    <row r="75" spans="1:12" x14ac:dyDescent="0.3">
      <c r="A75" t="s">
        <v>90</v>
      </c>
      <c r="B75">
        <v>25</v>
      </c>
      <c r="C75" t="s">
        <v>19</v>
      </c>
      <c r="D75">
        <v>88.93</v>
      </c>
      <c r="E75">
        <v>15.5</v>
      </c>
      <c r="F75">
        <v>3</v>
      </c>
      <c r="G75">
        <v>0</v>
      </c>
      <c r="H75">
        <v>3</v>
      </c>
      <c r="I75">
        <v>3.8</v>
      </c>
      <c r="J75" t="s">
        <v>14</v>
      </c>
      <c r="K75" s="1">
        <f>Table1[[#This Row],[Weight_kg]]/((Table1[[#This Row],[Height_cm]]/100)^2)</f>
        <v>19.59905418252098</v>
      </c>
      <c r="L75" t="str">
        <f>IF(Table1[[#This Row],[BMI]]&lt;18.5,"Under Weight",IF(Table1[[#This Row],[BMI]]&lt;24.5,"Healthy Weight",IF(Table1[[#This Row],[BMI]]&lt;=29.9,"Over weight","Obese")))</f>
        <v>Healthy Weight</v>
      </c>
    </row>
    <row r="76" spans="1:12" x14ac:dyDescent="0.3">
      <c r="A76" t="s">
        <v>91</v>
      </c>
      <c r="B76">
        <v>41</v>
      </c>
      <c r="C76" t="s">
        <v>11</v>
      </c>
      <c r="D76">
        <v>105.5</v>
      </c>
      <c r="E76">
        <v>20.18</v>
      </c>
      <c r="F76">
        <v>1</v>
      </c>
      <c r="G76">
        <v>4</v>
      </c>
      <c r="H76">
        <v>3</v>
      </c>
      <c r="I76">
        <v>1.9</v>
      </c>
      <c r="J76" t="s">
        <v>24</v>
      </c>
      <c r="K76" s="1">
        <f>Table1[[#This Row],[Weight_kg]]/((Table1[[#This Row],[Height_cm]]/100)^2)</f>
        <v>18.130769749107163</v>
      </c>
      <c r="L76" t="str">
        <f>IF(Table1[[#This Row],[BMI]]&lt;18.5,"Under Weight",IF(Table1[[#This Row],[BMI]]&lt;24.5,"Healthy Weight",IF(Table1[[#This Row],[BMI]]&lt;=29.9,"Over weight","Obese")))</f>
        <v>Under Weight</v>
      </c>
    </row>
    <row r="77" spans="1:12" x14ac:dyDescent="0.3">
      <c r="A77" t="s">
        <v>92</v>
      </c>
      <c r="B77">
        <v>38</v>
      </c>
      <c r="C77" t="s">
        <v>19</v>
      </c>
      <c r="D77">
        <v>101.47</v>
      </c>
      <c r="E77">
        <v>15.96</v>
      </c>
      <c r="F77">
        <v>1</v>
      </c>
      <c r="G77">
        <v>1</v>
      </c>
      <c r="H77">
        <v>0</v>
      </c>
      <c r="I77">
        <v>0.8</v>
      </c>
      <c r="J77" t="s">
        <v>12</v>
      </c>
      <c r="K77" s="1">
        <f>Table1[[#This Row],[Weight_kg]]/((Table1[[#This Row],[Height_cm]]/100)^2)</f>
        <v>15.500923261601326</v>
      </c>
      <c r="L77" t="str">
        <f>IF(Table1[[#This Row],[BMI]]&lt;18.5,"Under Weight",IF(Table1[[#This Row],[BMI]]&lt;24.5,"Healthy Weight",IF(Table1[[#This Row],[BMI]]&lt;=29.9,"Over weight","Obese")))</f>
        <v>Under Weight</v>
      </c>
    </row>
    <row r="78" spans="1:12" x14ac:dyDescent="0.3">
      <c r="A78" t="s">
        <v>93</v>
      </c>
      <c r="B78">
        <v>46</v>
      </c>
      <c r="C78" t="s">
        <v>19</v>
      </c>
      <c r="D78">
        <v>103.84</v>
      </c>
      <c r="E78">
        <v>17.13</v>
      </c>
      <c r="F78">
        <v>0</v>
      </c>
      <c r="G78">
        <v>4</v>
      </c>
      <c r="H78">
        <v>1</v>
      </c>
      <c r="I78">
        <v>0.7</v>
      </c>
      <c r="J78" t="s">
        <v>20</v>
      </c>
      <c r="K78" s="1">
        <f>Table1[[#This Row],[Weight_kg]]/((Table1[[#This Row],[Height_cm]]/100)^2)</f>
        <v>15.886491841187462</v>
      </c>
      <c r="L78" t="str">
        <f>IF(Table1[[#This Row],[BMI]]&lt;18.5,"Under Weight",IF(Table1[[#This Row],[BMI]]&lt;24.5,"Healthy Weight",IF(Table1[[#This Row],[BMI]]&lt;=29.9,"Over weight","Obese")))</f>
        <v>Under Weight</v>
      </c>
    </row>
    <row r="79" spans="1:12" x14ac:dyDescent="0.3">
      <c r="A79" t="s">
        <v>94</v>
      </c>
      <c r="B79">
        <v>45</v>
      </c>
      <c r="C79" t="s">
        <v>19</v>
      </c>
      <c r="D79">
        <v>103.74</v>
      </c>
      <c r="E79">
        <v>18.21</v>
      </c>
      <c r="F79">
        <v>1</v>
      </c>
      <c r="G79">
        <v>3</v>
      </c>
      <c r="H79">
        <v>0</v>
      </c>
      <c r="I79">
        <v>0.5</v>
      </c>
      <c r="J79" t="s">
        <v>20</v>
      </c>
      <c r="K79" s="1">
        <f>Table1[[#This Row],[Weight_kg]]/((Table1[[#This Row],[Height_cm]]/100)^2)</f>
        <v>16.920666215969256</v>
      </c>
      <c r="L79" t="str">
        <f>IF(Table1[[#This Row],[BMI]]&lt;18.5,"Under Weight",IF(Table1[[#This Row],[BMI]]&lt;24.5,"Healthy Weight",IF(Table1[[#This Row],[BMI]]&lt;=29.9,"Over weight","Obese")))</f>
        <v>Under Weight</v>
      </c>
    </row>
    <row r="80" spans="1:12" x14ac:dyDescent="0.3">
      <c r="A80" t="s">
        <v>95</v>
      </c>
      <c r="B80">
        <v>48</v>
      </c>
      <c r="C80" t="s">
        <v>19</v>
      </c>
      <c r="D80">
        <v>101.32</v>
      </c>
      <c r="E80">
        <v>21.93</v>
      </c>
      <c r="F80">
        <v>4</v>
      </c>
      <c r="G80">
        <v>2</v>
      </c>
      <c r="H80">
        <v>2</v>
      </c>
      <c r="I80">
        <v>2.8</v>
      </c>
      <c r="J80" t="s">
        <v>14</v>
      </c>
      <c r="K80" s="1">
        <f>Table1[[#This Row],[Weight_kg]]/((Table1[[#This Row],[Height_cm]]/100)^2)</f>
        <v>21.36231277340449</v>
      </c>
      <c r="L80" t="str">
        <f>IF(Table1[[#This Row],[BMI]]&lt;18.5,"Under Weight",IF(Table1[[#This Row],[BMI]]&lt;24.5,"Healthy Weight",IF(Table1[[#This Row],[BMI]]&lt;=29.9,"Over weight","Obese")))</f>
        <v>Healthy Weight</v>
      </c>
    </row>
    <row r="81" spans="1:12" x14ac:dyDescent="0.3">
      <c r="A81" t="s">
        <v>96</v>
      </c>
      <c r="B81">
        <v>54</v>
      </c>
      <c r="C81" t="s">
        <v>11</v>
      </c>
      <c r="D81">
        <v>109.83</v>
      </c>
      <c r="E81">
        <v>21.35</v>
      </c>
      <c r="F81">
        <v>3</v>
      </c>
      <c r="G81">
        <v>2</v>
      </c>
      <c r="H81">
        <v>1</v>
      </c>
      <c r="I81">
        <v>0.7</v>
      </c>
      <c r="J81" t="s">
        <v>24</v>
      </c>
      <c r="K81" s="1">
        <f>Table1[[#This Row],[Weight_kg]]/((Table1[[#This Row],[Height_cm]]/100)^2)</f>
        <v>17.699292730459444</v>
      </c>
      <c r="L81" t="str">
        <f>IF(Table1[[#This Row],[BMI]]&lt;18.5,"Under Weight",IF(Table1[[#This Row],[BMI]]&lt;24.5,"Healthy Weight",IF(Table1[[#This Row],[BMI]]&lt;=29.9,"Over weight","Obese")))</f>
        <v>Under Weight</v>
      </c>
    </row>
    <row r="82" spans="1:12" x14ac:dyDescent="0.3">
      <c r="A82" t="s">
        <v>97</v>
      </c>
      <c r="B82">
        <v>49</v>
      </c>
      <c r="C82" t="s">
        <v>19</v>
      </c>
      <c r="D82">
        <v>112.98</v>
      </c>
      <c r="E82">
        <v>18.22</v>
      </c>
      <c r="F82">
        <v>3</v>
      </c>
      <c r="G82">
        <v>1</v>
      </c>
      <c r="H82">
        <v>1</v>
      </c>
      <c r="I82">
        <v>1.7</v>
      </c>
      <c r="J82" t="s">
        <v>12</v>
      </c>
      <c r="K82" s="1">
        <f>Table1[[#This Row],[Weight_kg]]/((Table1[[#This Row],[Height_cm]]/100)^2)</f>
        <v>14.273984861929826</v>
      </c>
      <c r="L82" t="str">
        <f>IF(Table1[[#This Row],[BMI]]&lt;18.5,"Under Weight",IF(Table1[[#This Row],[BMI]]&lt;24.5,"Healthy Weight",IF(Table1[[#This Row],[BMI]]&lt;=29.9,"Over weight","Obese")))</f>
        <v>Under Weight</v>
      </c>
    </row>
    <row r="83" spans="1:12" x14ac:dyDescent="0.3">
      <c r="A83" t="s">
        <v>98</v>
      </c>
      <c r="B83">
        <v>45</v>
      </c>
      <c r="C83" t="s">
        <v>11</v>
      </c>
      <c r="D83">
        <v>104.87</v>
      </c>
      <c r="E83">
        <v>19.66</v>
      </c>
      <c r="F83">
        <v>1</v>
      </c>
      <c r="G83">
        <v>4</v>
      </c>
      <c r="H83">
        <v>2</v>
      </c>
      <c r="I83">
        <v>1.1000000000000001</v>
      </c>
      <c r="J83" t="s">
        <v>27</v>
      </c>
      <c r="K83" s="1">
        <f>Table1[[#This Row],[Weight_kg]]/((Table1[[#This Row],[Height_cm]]/100)^2)</f>
        <v>17.876437608609475</v>
      </c>
      <c r="L83" t="str">
        <f>IF(Table1[[#This Row],[BMI]]&lt;18.5,"Under Weight",IF(Table1[[#This Row],[BMI]]&lt;24.5,"Healthy Weight",IF(Table1[[#This Row],[BMI]]&lt;=29.9,"Over weight","Obese")))</f>
        <v>Under Weight</v>
      </c>
    </row>
    <row r="84" spans="1:12" x14ac:dyDescent="0.3">
      <c r="A84" t="s">
        <v>99</v>
      </c>
      <c r="B84">
        <v>30</v>
      </c>
      <c r="C84" t="s">
        <v>19</v>
      </c>
      <c r="D84">
        <v>100.81</v>
      </c>
      <c r="E84">
        <v>14.39</v>
      </c>
      <c r="F84">
        <v>2</v>
      </c>
      <c r="G84">
        <v>4</v>
      </c>
      <c r="H84">
        <v>2</v>
      </c>
      <c r="I84">
        <v>2.6</v>
      </c>
      <c r="J84" t="s">
        <v>12</v>
      </c>
      <c r="K84" s="1">
        <f>Table1[[#This Row],[Weight_kg]]/((Table1[[#This Row],[Height_cm]]/100)^2)</f>
        <v>14.159684100694896</v>
      </c>
      <c r="L84" t="str">
        <f>IF(Table1[[#This Row],[BMI]]&lt;18.5,"Under Weight",IF(Table1[[#This Row],[BMI]]&lt;24.5,"Healthy Weight",IF(Table1[[#This Row],[BMI]]&lt;=29.9,"Over weight","Obese")))</f>
        <v>Under Weight</v>
      </c>
    </row>
    <row r="85" spans="1:12" x14ac:dyDescent="0.3">
      <c r="A85" t="s">
        <v>100</v>
      </c>
      <c r="B85">
        <v>29</v>
      </c>
      <c r="C85" t="s">
        <v>11</v>
      </c>
      <c r="D85">
        <v>101.16</v>
      </c>
      <c r="E85">
        <v>14.14</v>
      </c>
      <c r="F85">
        <v>2</v>
      </c>
      <c r="G85">
        <v>2</v>
      </c>
      <c r="H85">
        <v>3</v>
      </c>
      <c r="I85">
        <v>1.3</v>
      </c>
      <c r="J85" t="s">
        <v>12</v>
      </c>
      <c r="K85" s="1">
        <f>Table1[[#This Row],[Weight_kg]]/((Table1[[#This Row],[Height_cm]]/100)^2)</f>
        <v>13.817573013462967</v>
      </c>
      <c r="L85" t="str">
        <f>IF(Table1[[#This Row],[BMI]]&lt;18.5,"Under Weight",IF(Table1[[#This Row],[BMI]]&lt;24.5,"Healthy Weight",IF(Table1[[#This Row],[BMI]]&lt;=29.9,"Over weight","Obese")))</f>
        <v>Under Weight</v>
      </c>
    </row>
    <row r="86" spans="1:12" x14ac:dyDescent="0.3">
      <c r="A86" t="s">
        <v>101</v>
      </c>
      <c r="B86">
        <v>57</v>
      </c>
      <c r="C86" t="s">
        <v>11</v>
      </c>
      <c r="D86">
        <v>115.19</v>
      </c>
      <c r="E86">
        <v>20.76</v>
      </c>
      <c r="F86">
        <v>1</v>
      </c>
      <c r="G86">
        <v>4</v>
      </c>
      <c r="H86">
        <v>0</v>
      </c>
      <c r="I86">
        <v>1</v>
      </c>
      <c r="J86" t="s">
        <v>12</v>
      </c>
      <c r="K86" s="1">
        <f>Table1[[#This Row],[Weight_kg]]/((Table1[[#This Row],[Height_cm]]/100)^2)</f>
        <v>15.645800657682841</v>
      </c>
      <c r="L86" t="str">
        <f>IF(Table1[[#This Row],[BMI]]&lt;18.5,"Under Weight",IF(Table1[[#This Row],[BMI]]&lt;24.5,"Healthy Weight",IF(Table1[[#This Row],[BMI]]&lt;=29.9,"Over weight","Obese")))</f>
        <v>Under Weight</v>
      </c>
    </row>
    <row r="87" spans="1:12" x14ac:dyDescent="0.3">
      <c r="A87" t="s">
        <v>102</v>
      </c>
      <c r="B87">
        <v>56</v>
      </c>
      <c r="C87" t="s">
        <v>19</v>
      </c>
      <c r="D87">
        <v>110.72</v>
      </c>
      <c r="E87">
        <v>20.149999999999999</v>
      </c>
      <c r="F87">
        <v>0</v>
      </c>
      <c r="G87">
        <v>1</v>
      </c>
      <c r="H87">
        <v>1</v>
      </c>
      <c r="I87">
        <v>2</v>
      </c>
      <c r="J87" t="s">
        <v>27</v>
      </c>
      <c r="K87" s="1">
        <f>Table1[[#This Row],[Weight_kg]]/((Table1[[#This Row],[Height_cm]]/100)^2)</f>
        <v>16.43701290971967</v>
      </c>
      <c r="L87" t="str">
        <f>IF(Table1[[#This Row],[BMI]]&lt;18.5,"Under Weight",IF(Table1[[#This Row],[BMI]]&lt;24.5,"Healthy Weight",IF(Table1[[#This Row],[BMI]]&lt;=29.9,"Over weight","Obese")))</f>
        <v>Under Weight</v>
      </c>
    </row>
    <row r="88" spans="1:12" x14ac:dyDescent="0.3">
      <c r="A88" t="s">
        <v>103</v>
      </c>
      <c r="B88">
        <v>56</v>
      </c>
      <c r="C88" t="s">
        <v>11</v>
      </c>
      <c r="D88">
        <v>106.73</v>
      </c>
      <c r="E88">
        <v>24.09</v>
      </c>
      <c r="F88">
        <v>0</v>
      </c>
      <c r="G88">
        <v>1</v>
      </c>
      <c r="H88">
        <v>3</v>
      </c>
      <c r="I88">
        <v>1.7</v>
      </c>
      <c r="J88" t="s">
        <v>27</v>
      </c>
      <c r="K88" s="1">
        <f>Table1[[#This Row],[Weight_kg]]/((Table1[[#This Row],[Height_cm]]/100)^2)</f>
        <v>21.147731176326783</v>
      </c>
      <c r="L88" t="str">
        <f>IF(Table1[[#This Row],[BMI]]&lt;18.5,"Under Weight",IF(Table1[[#This Row],[BMI]]&lt;24.5,"Healthy Weight",IF(Table1[[#This Row],[BMI]]&lt;=29.9,"Over weight","Obese")))</f>
        <v>Healthy Weight</v>
      </c>
    </row>
    <row r="89" spans="1:12" x14ac:dyDescent="0.3">
      <c r="A89" t="s">
        <v>104</v>
      </c>
      <c r="B89">
        <v>25</v>
      </c>
      <c r="C89" t="s">
        <v>11</v>
      </c>
      <c r="D89">
        <v>99.72</v>
      </c>
      <c r="E89">
        <v>14.9</v>
      </c>
      <c r="F89">
        <v>4</v>
      </c>
      <c r="G89">
        <v>2</v>
      </c>
      <c r="H89">
        <v>3</v>
      </c>
      <c r="I89">
        <v>2.2000000000000002</v>
      </c>
      <c r="J89" t="s">
        <v>14</v>
      </c>
      <c r="K89" s="1">
        <f>Table1[[#This Row],[Weight_kg]]/((Table1[[#This Row],[Height_cm]]/100)^2)</f>
        <v>14.983791760933824</v>
      </c>
      <c r="L89" t="str">
        <f>IF(Table1[[#This Row],[BMI]]&lt;18.5,"Under Weight",IF(Table1[[#This Row],[BMI]]&lt;24.5,"Healthy Weight",IF(Table1[[#This Row],[BMI]]&lt;=29.9,"Over weight","Obese")))</f>
        <v>Under Weight</v>
      </c>
    </row>
    <row r="90" spans="1:12" x14ac:dyDescent="0.3">
      <c r="A90" t="s">
        <v>105</v>
      </c>
      <c r="B90">
        <v>30</v>
      </c>
      <c r="C90" t="s">
        <v>11</v>
      </c>
      <c r="D90">
        <v>96.45</v>
      </c>
      <c r="E90">
        <v>14.77</v>
      </c>
      <c r="F90">
        <v>4</v>
      </c>
      <c r="G90">
        <v>2</v>
      </c>
      <c r="H90">
        <v>0</v>
      </c>
      <c r="I90">
        <v>0.6</v>
      </c>
      <c r="J90" t="s">
        <v>24</v>
      </c>
      <c r="K90" s="1">
        <f>Table1[[#This Row],[Weight_kg]]/((Table1[[#This Row],[Height_cm]]/100)^2)</f>
        <v>15.877277353299789</v>
      </c>
      <c r="L90" t="str">
        <f>IF(Table1[[#This Row],[BMI]]&lt;18.5,"Under Weight",IF(Table1[[#This Row],[BMI]]&lt;24.5,"Healthy Weight",IF(Table1[[#This Row],[BMI]]&lt;=29.9,"Over weight","Obese")))</f>
        <v>Under Weight</v>
      </c>
    </row>
    <row r="91" spans="1:12" x14ac:dyDescent="0.3">
      <c r="A91" t="s">
        <v>106</v>
      </c>
      <c r="B91">
        <v>53</v>
      </c>
      <c r="C91" t="s">
        <v>19</v>
      </c>
      <c r="D91">
        <v>106.44</v>
      </c>
      <c r="E91">
        <v>20.73</v>
      </c>
      <c r="F91">
        <v>4</v>
      </c>
      <c r="G91">
        <v>3</v>
      </c>
      <c r="H91">
        <v>2</v>
      </c>
      <c r="I91">
        <v>2</v>
      </c>
      <c r="J91" t="s">
        <v>12</v>
      </c>
      <c r="K91" s="1">
        <f>Table1[[#This Row],[Weight_kg]]/((Table1[[#This Row],[Height_cm]]/100)^2)</f>
        <v>18.29740792193558</v>
      </c>
      <c r="L91" t="str">
        <f>IF(Table1[[#This Row],[BMI]]&lt;18.5,"Under Weight",IF(Table1[[#This Row],[BMI]]&lt;24.5,"Healthy Weight",IF(Table1[[#This Row],[BMI]]&lt;=29.9,"Over weight","Obese")))</f>
        <v>Under Weight</v>
      </c>
    </row>
    <row r="92" spans="1:12" x14ac:dyDescent="0.3">
      <c r="A92" t="s">
        <v>107</v>
      </c>
      <c r="B92">
        <v>29</v>
      </c>
      <c r="C92" t="s">
        <v>11</v>
      </c>
      <c r="D92">
        <v>97.77</v>
      </c>
      <c r="E92">
        <v>15.72</v>
      </c>
      <c r="F92">
        <v>2</v>
      </c>
      <c r="G92">
        <v>0</v>
      </c>
      <c r="H92">
        <v>0</v>
      </c>
      <c r="I92">
        <v>0.9</v>
      </c>
      <c r="J92" t="s">
        <v>12</v>
      </c>
      <c r="K92" s="1">
        <f>Table1[[#This Row],[Weight_kg]]/((Table1[[#This Row],[Height_cm]]/100)^2)</f>
        <v>16.445281479979926</v>
      </c>
      <c r="L92" t="str">
        <f>IF(Table1[[#This Row],[BMI]]&lt;18.5,"Under Weight",IF(Table1[[#This Row],[BMI]]&lt;24.5,"Healthy Weight",IF(Table1[[#This Row],[BMI]]&lt;=29.9,"Over weight","Obese")))</f>
        <v>Under Weight</v>
      </c>
    </row>
    <row r="93" spans="1:12" x14ac:dyDescent="0.3">
      <c r="A93" t="s">
        <v>108</v>
      </c>
      <c r="B93">
        <v>58</v>
      </c>
      <c r="C93" t="s">
        <v>19</v>
      </c>
      <c r="D93">
        <v>113.49</v>
      </c>
      <c r="E93">
        <v>25.26</v>
      </c>
      <c r="F93">
        <v>0</v>
      </c>
      <c r="G93">
        <v>4</v>
      </c>
      <c r="H93">
        <v>3</v>
      </c>
      <c r="I93">
        <v>3</v>
      </c>
      <c r="J93" t="s">
        <v>27</v>
      </c>
      <c r="K93" s="1">
        <f>Table1[[#This Row],[Weight_kg]]/((Table1[[#This Row],[Height_cm]]/100)^2)</f>
        <v>19.611831543124822</v>
      </c>
      <c r="L93" t="str">
        <f>IF(Table1[[#This Row],[BMI]]&lt;18.5,"Under Weight",IF(Table1[[#This Row],[BMI]]&lt;24.5,"Healthy Weight",IF(Table1[[#This Row],[BMI]]&lt;=29.9,"Over weight","Obese")))</f>
        <v>Healthy Weight</v>
      </c>
    </row>
    <row r="94" spans="1:12" x14ac:dyDescent="0.3">
      <c r="A94" t="s">
        <v>109</v>
      </c>
      <c r="B94">
        <v>26</v>
      </c>
      <c r="C94" t="s">
        <v>19</v>
      </c>
      <c r="D94">
        <v>92.08</v>
      </c>
      <c r="E94">
        <v>15.29</v>
      </c>
      <c r="F94">
        <v>4</v>
      </c>
      <c r="G94">
        <v>1</v>
      </c>
      <c r="H94">
        <v>2</v>
      </c>
      <c r="I94">
        <v>2.6</v>
      </c>
      <c r="J94" t="s">
        <v>20</v>
      </c>
      <c r="K94" s="1">
        <f>Table1[[#This Row],[Weight_kg]]/((Table1[[#This Row],[Height_cm]]/100)^2)</f>
        <v>18.033368785198682</v>
      </c>
      <c r="L94" t="str">
        <f>IF(Table1[[#This Row],[BMI]]&lt;18.5,"Under Weight",IF(Table1[[#This Row],[BMI]]&lt;24.5,"Healthy Weight",IF(Table1[[#This Row],[BMI]]&lt;=29.9,"Over weight","Obese")))</f>
        <v>Under Weight</v>
      </c>
    </row>
    <row r="95" spans="1:12" x14ac:dyDescent="0.3">
      <c r="A95" t="s">
        <v>110</v>
      </c>
      <c r="B95">
        <v>25</v>
      </c>
      <c r="C95" t="s">
        <v>11</v>
      </c>
      <c r="D95">
        <v>96.42</v>
      </c>
      <c r="E95">
        <v>15.34</v>
      </c>
      <c r="F95">
        <v>4</v>
      </c>
      <c r="G95">
        <v>3</v>
      </c>
      <c r="H95">
        <v>2</v>
      </c>
      <c r="I95">
        <v>0.9</v>
      </c>
      <c r="J95" t="s">
        <v>20</v>
      </c>
      <c r="K95" s="1">
        <f>Table1[[#This Row],[Weight_kg]]/((Table1[[#This Row],[Height_cm]]/100)^2)</f>
        <v>16.500272071630885</v>
      </c>
      <c r="L95" t="str">
        <f>IF(Table1[[#This Row],[BMI]]&lt;18.5,"Under Weight",IF(Table1[[#This Row],[BMI]]&lt;24.5,"Healthy Weight",IF(Table1[[#This Row],[BMI]]&lt;=29.9,"Over weight","Obese")))</f>
        <v>Under Weight</v>
      </c>
    </row>
    <row r="96" spans="1:12" x14ac:dyDescent="0.3">
      <c r="A96" t="s">
        <v>111</v>
      </c>
      <c r="B96">
        <v>59</v>
      </c>
      <c r="C96" t="s">
        <v>11</v>
      </c>
      <c r="D96">
        <v>108.1</v>
      </c>
      <c r="E96">
        <v>19.25</v>
      </c>
      <c r="F96">
        <v>1</v>
      </c>
      <c r="G96">
        <v>0</v>
      </c>
      <c r="H96">
        <v>1</v>
      </c>
      <c r="I96">
        <v>1</v>
      </c>
      <c r="J96" t="s">
        <v>12</v>
      </c>
      <c r="K96" s="1">
        <f>Table1[[#This Row],[Weight_kg]]/((Table1[[#This Row],[Height_cm]]/100)^2)</f>
        <v>16.47325214515973</v>
      </c>
      <c r="L96" t="str">
        <f>IF(Table1[[#This Row],[BMI]]&lt;18.5,"Under Weight",IF(Table1[[#This Row],[BMI]]&lt;24.5,"Healthy Weight",IF(Table1[[#This Row],[BMI]]&lt;=29.9,"Over weight","Obese")))</f>
        <v>Under Weight</v>
      </c>
    </row>
    <row r="97" spans="1:12" x14ac:dyDescent="0.3">
      <c r="A97" t="s">
        <v>112</v>
      </c>
      <c r="B97">
        <v>50</v>
      </c>
      <c r="C97" t="s">
        <v>11</v>
      </c>
      <c r="D97">
        <v>109.15</v>
      </c>
      <c r="E97">
        <v>22.09</v>
      </c>
      <c r="F97">
        <v>1</v>
      </c>
      <c r="G97">
        <v>4</v>
      </c>
      <c r="H97">
        <v>0</v>
      </c>
      <c r="I97">
        <v>0.6</v>
      </c>
      <c r="J97" t="s">
        <v>14</v>
      </c>
      <c r="K97" s="1">
        <f>Table1[[#This Row],[Weight_kg]]/((Table1[[#This Row],[Height_cm]]/100)^2)</f>
        <v>18.541643890060385</v>
      </c>
      <c r="L97" t="str">
        <f>IF(Table1[[#This Row],[BMI]]&lt;18.5,"Under Weight",IF(Table1[[#This Row],[BMI]]&lt;24.5,"Healthy Weight",IF(Table1[[#This Row],[BMI]]&lt;=29.9,"Over weight","Obese")))</f>
        <v>Healthy Weight</v>
      </c>
    </row>
    <row r="98" spans="1:12" x14ac:dyDescent="0.3">
      <c r="A98" t="s">
        <v>113</v>
      </c>
      <c r="B98">
        <v>48</v>
      </c>
      <c r="C98" t="s">
        <v>19</v>
      </c>
      <c r="D98">
        <v>107.71</v>
      </c>
      <c r="E98">
        <v>19.079999999999998</v>
      </c>
      <c r="F98">
        <v>0</v>
      </c>
      <c r="G98">
        <v>2</v>
      </c>
      <c r="H98">
        <v>2</v>
      </c>
      <c r="I98">
        <v>1.8</v>
      </c>
      <c r="J98" t="s">
        <v>20</v>
      </c>
      <c r="K98" s="1">
        <f>Table1[[#This Row],[Weight_kg]]/((Table1[[#This Row],[Height_cm]]/100)^2)</f>
        <v>16.446228448404973</v>
      </c>
      <c r="L98" t="str">
        <f>IF(Table1[[#This Row],[BMI]]&lt;18.5,"Under Weight",IF(Table1[[#This Row],[BMI]]&lt;24.5,"Healthy Weight",IF(Table1[[#This Row],[BMI]]&lt;=29.9,"Over weight","Obese")))</f>
        <v>Under Weight</v>
      </c>
    </row>
    <row r="99" spans="1:12" x14ac:dyDescent="0.3">
      <c r="A99" t="s">
        <v>114</v>
      </c>
      <c r="B99">
        <v>57</v>
      </c>
      <c r="C99" t="s">
        <v>19</v>
      </c>
      <c r="D99">
        <v>112.41</v>
      </c>
      <c r="E99">
        <v>21.55</v>
      </c>
      <c r="F99">
        <v>2</v>
      </c>
      <c r="G99">
        <v>4</v>
      </c>
      <c r="H99">
        <v>0</v>
      </c>
      <c r="I99">
        <v>0.9</v>
      </c>
      <c r="J99" t="s">
        <v>12</v>
      </c>
      <c r="K99" s="1">
        <f>Table1[[#This Row],[Weight_kg]]/((Table1[[#This Row],[Height_cm]]/100)^2)</f>
        <v>17.054436677671966</v>
      </c>
      <c r="L99" t="str">
        <f>IF(Table1[[#This Row],[BMI]]&lt;18.5,"Under Weight",IF(Table1[[#This Row],[BMI]]&lt;24.5,"Healthy Weight",IF(Table1[[#This Row],[BMI]]&lt;=29.9,"Over weight","Obese")))</f>
        <v>Under Weight</v>
      </c>
    </row>
    <row r="100" spans="1:12" x14ac:dyDescent="0.3">
      <c r="A100" t="s">
        <v>115</v>
      </c>
      <c r="B100">
        <v>45</v>
      </c>
      <c r="C100" t="s">
        <v>19</v>
      </c>
      <c r="D100">
        <v>110.12</v>
      </c>
      <c r="E100">
        <v>18.510000000000002</v>
      </c>
      <c r="F100">
        <v>0</v>
      </c>
      <c r="G100">
        <v>2</v>
      </c>
      <c r="H100">
        <v>0</v>
      </c>
      <c r="I100">
        <v>0.9</v>
      </c>
      <c r="J100" t="s">
        <v>24</v>
      </c>
      <c r="K100" s="1">
        <f>Table1[[#This Row],[Weight_kg]]/((Table1[[#This Row],[Height_cm]]/100)^2)</f>
        <v>15.264198789050129</v>
      </c>
      <c r="L100" t="str">
        <f>IF(Table1[[#This Row],[BMI]]&lt;18.5,"Under Weight",IF(Table1[[#This Row],[BMI]]&lt;24.5,"Healthy Weight",IF(Table1[[#This Row],[BMI]]&lt;=29.9,"Over weight","Obese")))</f>
        <v>Under Weight</v>
      </c>
    </row>
    <row r="101" spans="1:12" x14ac:dyDescent="0.3">
      <c r="A101" t="s">
        <v>116</v>
      </c>
      <c r="B101">
        <v>49</v>
      </c>
      <c r="C101" t="s">
        <v>19</v>
      </c>
      <c r="D101">
        <v>106.6</v>
      </c>
      <c r="E101">
        <v>21.21</v>
      </c>
      <c r="F101">
        <v>0</v>
      </c>
      <c r="G101">
        <v>0</v>
      </c>
      <c r="H101">
        <v>2</v>
      </c>
      <c r="I101">
        <v>2.5</v>
      </c>
      <c r="J101" t="s">
        <v>24</v>
      </c>
      <c r="K101" s="1">
        <f>Table1[[#This Row],[Weight_kg]]/((Table1[[#This Row],[Height_cm]]/100)^2)</f>
        <v>18.664925428298883</v>
      </c>
      <c r="L101" t="str">
        <f>IF(Table1[[#This Row],[BMI]]&lt;18.5,"Under Weight",IF(Table1[[#This Row],[BMI]]&lt;24.5,"Healthy Weight",IF(Table1[[#This Row],[BMI]]&lt;=29.9,"Over weight","Obese")))</f>
        <v>Healthy Weight</v>
      </c>
    </row>
  </sheetData>
  <conditionalFormatting sqref="K2:K1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Child_Health_Data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 Chinna Babu</dc:creator>
  <cp:lastModifiedBy>Kona Chinna Babu</cp:lastModifiedBy>
  <dcterms:created xsi:type="dcterms:W3CDTF">2026-03-18T11:46:04Z</dcterms:created>
  <dcterms:modified xsi:type="dcterms:W3CDTF">2026-03-18T12:26:48Z</dcterms:modified>
</cp:coreProperties>
</file>