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 Analyst\Entri\50 days\Day5 Coding Challenge\"/>
    </mc:Choice>
  </mc:AlternateContent>
  <xr:revisionPtr revIDLastSave="0" documentId="13_ncr:9_{BD6CF118-29EF-4CD5-92F2-2949EE209951}" xr6:coauthVersionLast="47" xr6:coauthVersionMax="47" xr10:uidLastSave="{00000000-0000-0000-0000-000000000000}"/>
  <bookViews>
    <workbookView xWindow="-113" yWindow="-113" windowWidth="24267" windowHeight="13023" activeTab="1" xr2:uid="{F82463BA-9C2A-4A4B-B08F-7BBBA1A10030}"/>
  </bookViews>
  <sheets>
    <sheet name="Summary Dashboard" sheetId="2" r:id="rId1"/>
    <sheet name="Dashboard" sheetId="3" r:id="rId2"/>
    <sheet name="Detailed Analysis" sheetId="4" r:id="rId3"/>
    <sheet name="help_desk_tickets" sheetId="1" r:id="rId4"/>
  </sheets>
  <definedNames>
    <definedName name="_xlnm._FilterDatabase" localSheetId="3" hidden="1">help_desk_tickets!$A$1:$F$151</definedName>
    <definedName name="Slicer_assigned_analyst">#N/A</definedName>
    <definedName name="Slicer_category">#N/A</definedName>
    <definedName name="Slicer_priority">#N/A</definedName>
  </definedNames>
  <calcPr calcId="0"/>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8" i="2" l="1" a="1"/>
  <c r="C28" i="2" s="1"/>
  <c r="N18" i="1"/>
  <c r="N17" i="1"/>
  <c r="N16" i="1"/>
  <c r="N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B18" i="2"/>
  <c r="A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<sst xmlns="http://schemas.openxmlformats.org/spreadsheetml/2006/main" count="835" uniqueCount="349">
  <si>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</si>
  <si>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</si>
  <si>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</si>
  <si>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</si>
  <si>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</si>
  <si>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</si>
  <si>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</si>
  <si>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</si>
  <si>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</si>
  <si>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</si>
  <si>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</si>
  <si>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</si>
  <si>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</si>
  <si>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</si>
  <si>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</si>
  <si>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</si>
  <si>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</si>
  <si>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</si>
  <si>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</si>
  <si>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</si>
  <si>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</si>
  <si>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</si>
  <si>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</si>
  <si>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</si>
  <si>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</si>
  <si>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</si>
  <si>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</si>
  <si>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</si>
  <si>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</si>
  <si>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</si>
  <si>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</si>
  <si>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</si>
  <si>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</si>
  <si>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</si>
  <si>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</si>
  <si>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</si>
  <si>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</si>
  <si>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</si>
  <si>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</si>
  <si>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</si>
  <si>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</si>
  <si>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</si>
  <si>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</si>
  <si>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</si>
  <si>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</si>
  <si>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</si>
  <si>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</si>
  <si>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</si>
  <si>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</si>
  <si>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</si>
  <si>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</si>
  <si>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</si>
  <si>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</si>
  <si>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</si>
  <si>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</si>
  <si>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</si>
  <si>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</si>
  <si>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</si>
  <si>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</si>
  <si>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</si>
  <si>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</si>
  <si>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</si>
  <si>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</si>
  <si>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</si>
  <si>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</si>
  <si>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</si>
  <si>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</si>
  <si>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</si>
  <si>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</si>
  <si>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</si>
  <si>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</si>
  <si>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</si>
  <si>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</si>
  <si>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</si>
  <si>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</si>
  <si>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</si>
  <si>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</si>
  <si>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</si>
  <si>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</si>
  <si>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</si>
  <si>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</si>
  <si>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</si>
  <si>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</si>
  <si>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</si>
  <si>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</si>
  <si>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</si>
  <si>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</si>
  <si>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</si>
  <si>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</si>
  <si>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</si>
  <si>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</si>
  <si>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</si>
  <si>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</si>
  <si>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</si>
  <si>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</si>
  <si>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</si>
  <si>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</si>
  <si>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</si>
  <si>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</si>
  <si>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</si>
  <si>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</si>
  <si>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</si>
  <si>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</si>
  <si>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</si>
  <si>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</si>
  <si>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</si>
  <si>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</si>
  <si>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</si>
  <si>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</si>
  <si>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</si>
  <si>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</si>
  <si>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</si>
  <si>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</si>
  <si>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</si>
  <si>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</si>
  <si>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</si>
  <si>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</si>
  <si>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</si>
  <si>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</si>
  <si>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</si>
  <si>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</si>
  <si>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</si>
  <si>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</si>
  <si>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</si>
  <si>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</si>
  <si>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</si>
  <si>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</si>
  <si>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</si>
  <si>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</si>
  <si>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</si>
  <si>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</si>
  <si>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</si>
  <si>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</si>
  <si>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</si>
  <si>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</si>
  <si>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</si>
  <si>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</si>
  <si>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</si>
  <si>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</si>
  <si>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</si>
  <si>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</si>
  <si>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</si>
  <si>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</si>
  <si>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</si>
  <si>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</si>
  <si>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</si>
  <si>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</si>
  <si>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</si>
  <si>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</si>
  <si>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</si>
  <si>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</si>
  <si>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</si>
  <si>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</si>
  <si>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</si>
  <si>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</si>
  <si>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</si>
  <si>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</si>
  <si>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</si>
  <si>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</si>
  <si>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</si>
  <si>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</si>
  <si>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</si>
  <si>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</si>
  <si>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</si>
  <si>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</si>
  <si>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</si>
  <si>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</si>
  <si>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</si>
  <si>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</si>
  <si>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</si>
  <si>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</si>
  <si>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</si>
  <si>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</si>
  <si>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</si>
  <si>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</si>
  <si>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</si>
  <si>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</si>
  <si>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</si>
  <si>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</si>
  <si>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</si>
  <si>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</si>
  <si>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</si>
  <si>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</si>
  <si>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</si>
  <si>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</si>
  <si>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</si>
  <si>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</si>
  <si>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</si>
  <si>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</si>
  <si>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</si>
  <si>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</si>
  <si>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</si>
  <si>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</si>
  <si>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</si>
  <si>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</si>
  <si>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</si>
  <si>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</si>
  <si>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</si>
  <si>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</si>
  <si>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</si>
  <si>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</si>
  <si>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</si>
  <si>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</si>
  <si>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</si>
  <si>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</si>
  <si>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</si>
  <si>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</si>
  <si>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</si>
  <si>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</si>
  <si>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</si>
  <si>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</si>
  <si>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</si>
  <si>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</si>
  <si>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</si>
  <si>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</si>
  <si>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</si>
  <si>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</si>
  <si>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</si>
  <si>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</si>
  <si>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</si>
  <si>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</si>
  <si>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</si>
  <si>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</si>
  <si>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</si>
  <si>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</si>
  <si>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</si>
  <si>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</si>
  <si>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</si>
  <si>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</si>
  <si>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</si>
  <si>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</si>
  <si>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</si>
  <si>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</si>
  <si>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</si>
  <si>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</si>
  <si>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</si>
  <si>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</si>
  <si>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</si>
  <si>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</si>
  <si>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</si>
  <si>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</si>
  <si>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</si>
  <si>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</si>
  <si>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</si>
  <si>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</si>
  <si>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</si>
  <si>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</si>
  <si>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</si>
  <si>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</si>
  <si>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</si>
  <si>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</si>
  <si>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</si>
  <si>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</si>
  <si>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</si>
  <si>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</si>
  <si>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</si>
  <si>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</si>
  <si>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</si>
  <si>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</si>
  <si>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</si>
  <si>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</si>
  <si>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</si>
  <si>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</si>
  <si>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</si>
  <si>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</si>
  <si>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</si>
  <si>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</si>
  <si>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</si>
  <si>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</si>
  <si>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</si>
  <si>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</si>
  <si>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</si>
  <si>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</si>
  <si>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</si>
  <si>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</si>
  <si>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</si>
  <si>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</si>
  <si>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</si>
  <si>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</si>
  <si>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</si>
  <si>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</si>
  <si>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</si>
  <si>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</si>
  <si>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</si>
  <si>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</si>
  <si>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</si>
  <si>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</si>
  <si>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</si>
  <si>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</si>
  <si>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</si>
  <si>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</si>
  <si>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</si>
  <si>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</si>
  <si>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</si>
  <si>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</si>
  <si>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</si>
  <si>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</si>
  <si>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</si>
  <si>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</si>
  <si>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</si>
  <si>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</si>
  <si>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</si>
  <si>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</si>
  <si>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</si>
  <si>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</si>
  <si>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</si>
  <si>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</si>
  <si>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</si>
  <si>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</si>
  <si>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</si>
  <si>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</si>
  <si>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</si>
  <si>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</si>
  <si>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</si>
  <si>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</si>
  <si>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</si>
  <si>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</si>
  <si>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</si>
  <si>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</si>
  <si>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</si>
  <si>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</si>
  <si>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</si>
  <si>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</si>
  <si>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</si>
  <si>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</si>
  <si>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</si>
  <si>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</si>
  <si>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Resolution Time (in hours)</t>
  </si>
  <si>
    <t>Day of Week</t>
  </si>
  <si>
    <t>Month</t>
  </si>
  <si>
    <t>Hour</t>
  </si>
  <si>
    <t>Row Labels</t>
  </si>
  <si>
    <t>Grand Total</t>
  </si>
  <si>
    <t>Jun</t>
  </si>
  <si>
    <t>Jul</t>
  </si>
  <si>
    <t>Aug</t>
  </si>
  <si>
    <t>Sep</t>
  </si>
  <si>
    <t>Count of ticket_id</t>
  </si>
  <si>
    <t>Ticket Trends</t>
  </si>
  <si>
    <t>Average of Resolution Time (in hours)</t>
  </si>
  <si>
    <t>Resolution Time</t>
  </si>
  <si>
    <t>Priority</t>
  </si>
  <si>
    <t>Application X</t>
  </si>
  <si>
    <t>No internet access</t>
  </si>
  <si>
    <t>password</t>
  </si>
  <si>
    <t>Laptop</t>
  </si>
  <si>
    <t>total Tickers</t>
  </si>
  <si>
    <t>Top Performer</t>
  </si>
  <si>
    <t>Top Issue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</si>
</sst>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wrapText="1"/>
    </xf>
    <xf numFmtId="22" fontId="0" fillId="0" borderId="0" xfId="0" applyNumberFormat="1"/>
    <xf numFmtId="0" fontId="0" fillId="0" borderId="0" xfId="0" applyAlignment="1">
      <alignment horizontal="center" vertical="center" wrapText="1"/>
    </xf>
    <xf numFmtId="2" fontId="0" fillId="0" borderId="0" xfId="0" applyNumberFormat="1"/>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0" fillId="33" borderId="10" xfId="0" applyFill="1" applyBorder="1" applyAlignment="1"/>
    <xf numFmtId="0" fontId="0" fillId="33" borderId="10" xfId="0" applyFill="1" applyBorder="1" applyAlignment="1">
      <alignment wrapText="1"/>
    </xf>
    <xf numFmtId="0" fontId="0" fillId="33"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i/>
        <sz val="12"/>
        <color theme="0"/>
      </font>
      <fill>
        <patternFill>
          <bgColor rgb="FF404040"/>
        </patternFill>
      </fill>
      <border diagonalUp="0" diagonalDown="0">
        <left style="thin">
          <color theme="5" tint="-0.24994659260841701"/>
        </left>
        <right style="thin">
          <color theme="5" tint="-0.24994659260841701"/>
        </right>
        <top style="thin">
          <color theme="5" tint="-0.24994659260841701"/>
        </top>
        <bottom style="thin">
          <color theme="5" tint="-0.24994659260841701"/>
        </bottom>
        <vertical/>
        <horizontal/>
      </border>
    </dxf>
    <dxf>
      <numFmt numFmtId="0" formatCode="General"/>
    </dxf>
    <dxf>
      <numFmt numFmtId="0" formatCode="General"/>
    </dxf>
    <dxf>
      <numFmt numFmtId="0" formatCode="General"/>
    </dxf>
    <dxf>
      <numFmt numFmtId="0" formatCode="General"/>
    </dxf>
    <dxf>
      <numFmt numFmtId="2" formatCode="0.00"/>
      <alignment horizontal="center" vertical="center" textRotation="0" wrapText="0" indent="0" justifyLastLine="0" shrinkToFit="0" readingOrder="0"/>
    </dxf>
    <dxf>
      <numFmt numFmtId="27" formatCode="dd/mm/yyyy\ hh:mm"/>
    </dxf>
    <dxf>
      <numFmt numFmtId="27" formatCode="dd/mm/yyyy\ hh:mm"/>
    </dxf>
  </dxfs>
  <tableStyles count="2" defaultTableStyle="TableStyleMedium2" defaultPivotStyle="PivotStyleLight16">
    <tableStyle name="Invisible" pivot="0" table="0" count="0" xr9:uid="{5681B73B-9FA7-405D-95C1-CBF294D7422A}"/>
    <tableStyle name="Slicer Style 1" pivot="0" table="0" count="1" xr9:uid="{FA36F9C4-A46E-4654-857C-54FCEC11FDB9}">
      <tableStyleElement type="wholeTable" dxfId="0"/>
    </tableStyle>
  </tableStyles>
  <colors>
    <mruColors>
      <color rgb="FF414040"/>
      <color rgb="FF404040"/>
      <color rgb="FF3E4D6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Dashboard!PivotTable3</c:name>
    <c:fmtId val="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chh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 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B22-43EC-AF2F-AD1957C87BB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B22-43EC-AF2F-AD1957C87BB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B22-43EC-AF2F-AD1957C87BB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B22-43EC-AF2F-AD1957C87B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 Dashboard'!$G$4:$G$8</c:f>
              <c:strCache>
                <c:ptCount val="4"/>
                <c:pt idx="0">
                  <c:v>Low</c:v>
                </c:pt>
                <c:pt idx="1">
                  <c:v>Medium</c:v>
                </c:pt>
                <c:pt idx="2">
                  <c:v>High</c:v>
                </c:pt>
                <c:pt idx="3">
                  <c:v>Critical</c:v>
                </c:pt>
              </c:strCache>
            </c:strRef>
          </c:cat>
          <c:val>
            <c:numRef>
              <c:f>'Summary Dashboard'!$H$4:$H$8</c:f>
              <c:numCache>
                <c:formatCode>0.00</c:formatCode>
                <c:ptCount val="4"/>
                <c:pt idx="0">
                  <c:v>105.14095550287688</c:v>
                </c:pt>
                <c:pt idx="1">
                  <c:v>27.309928223086033</c:v>
                </c:pt>
                <c:pt idx="2">
                  <c:v>6.6783504444546997</c:v>
                </c:pt>
                <c:pt idx="3">
                  <c:v>2.2080752082983963</c:v>
                </c:pt>
              </c:numCache>
            </c:numRef>
          </c:val>
          <c:extLst>
            <c:ext xmlns:c16="http://schemas.microsoft.com/office/drawing/2014/chart" uri="{C3380CC4-5D6E-409C-BE32-E72D297353CC}">
              <c16:uniqueId val="{00000008-6B22-43EC-AF2F-AD1957C87BB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158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Dashboard!PivotTable1</c:name>
    <c:fmtId val="1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cked"/>
        <c:varyColors val="1"/>
        <c:ser>
          <c:idx val="0"/>
          <c:order val="0"/>
          <c:tx>
            <c:strRef>
              <c:f>'Summary Dashboard'!$B$3</c:f>
              <c:strCache>
                <c:ptCount val="1"/>
                <c:pt idx="0">
                  <c:v>Total</c:v>
                </c:pt>
              </c:strCache>
            </c:strRef>
          </c:tx>
          <c:marker>
            <c:symbol val="circle"/>
            <c:size val="4"/>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1-EF2A-4536-A88F-0EBE26461B7A}"/>
              </c:ext>
            </c:extLst>
          </c:dPt>
          <c:dPt>
            <c:idx val="2"/>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spPr>
              <a:ln w="22225" cap="rnd">
                <a:solidFill>
                  <a:schemeClr val="accent3"/>
                </a:solidFill>
              </a:ln>
              <a:effectLst>
                <a:glow rad="139700">
                  <a:schemeClr val="accent3">
                    <a:satMod val="175000"/>
                    <a:alpha val="14000"/>
                  </a:schemeClr>
                </a:glow>
              </a:effectLst>
            </c:spPr>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dPt>
          <c:cat>
            <c:strRef>
              <c:f>'Summary Dashboard'!$A$4:$A$8</c:f>
              <c:strCache>
                <c:ptCount val="4"/>
                <c:pt idx="0">
                  <c:v>Jun</c:v>
                </c:pt>
                <c:pt idx="1">
                  <c:v>Sep</c:v>
                </c:pt>
                <c:pt idx="2">
                  <c:v>Aug</c:v>
                </c:pt>
                <c:pt idx="3">
                  <c:v>Jul</c:v>
                </c:pt>
              </c:strCache>
            </c:strRef>
          </c:cat>
          <c:val>
            <c:numRef>
              <c:f>'Summary Dashboard'!$B$4:$B$8</c:f>
              <c:numCache>
                <c:formatCode>General</c:formatCode>
                <c:ptCount val="4"/>
                <c:pt idx="0">
                  <c:v>27</c:v>
                </c:pt>
                <c:pt idx="1">
                  <c:v>27</c:v>
                </c:pt>
                <c:pt idx="2">
                  <c:v>45</c:v>
                </c:pt>
                <c:pt idx="3">
                  <c:v>51</c:v>
                </c:pt>
              </c:numCache>
            </c:numRef>
          </c:val>
          <c:smooth val="0"/>
          <c:extLst>
            <c:ext xmlns:c16="http://schemas.microsoft.com/office/drawing/2014/chart" uri="{C3380CC4-5D6E-409C-BE32-E72D297353CC}">
              <c16:uniqueId val="{00000000-EF2A-4536-A88F-0EBE26461B7A}"/>
            </c:ext>
          </c:extLst>
        </c:ser>
        <c:dLbls>
          <c:dLblPos val="ctr"/>
          <c:showLegendKey val="0"/>
          <c:showVal val="0"/>
          <c:showCatName val="0"/>
          <c:showSerName val="0"/>
          <c:showPercent val="0"/>
          <c:showBubbleSize val="0"/>
        </c:dLbls>
        <c:marker val="1"/>
        <c:smooth val="0"/>
        <c:axId val="1437160528"/>
        <c:axId val="1437161008"/>
      </c:lineChart>
      <c:catAx>
        <c:axId val="1437160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161008"/>
        <c:crosses val="autoZero"/>
        <c:auto val="1"/>
        <c:lblAlgn val="ctr"/>
        <c:lblOffset val="100"/>
        <c:noMultiLvlLbl val="0"/>
      </c:catAx>
      <c:valAx>
        <c:axId val="1437161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1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15875" cap="rnd"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Dashboard'!$E$3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Dashboard'!$D$4:$D$11</c:f>
              <c:strCache>
                <c:ptCount val="7"/>
                <c:pt idx="0">
                  <c:v>Security</c:v>
                </c:pt>
                <c:pt idx="1">
                  <c:v>Billing</c:v>
                </c:pt>
                <c:pt idx="2">
                  <c:v>Software</c:v>
                </c:pt>
                <c:pt idx="3">
                  <c:v>Other</c:v>
                </c:pt>
                <c:pt idx="4">
                  <c:v>Network</c:v>
                </c:pt>
                <c:pt idx="5">
                  <c:v>Access</c:v>
                </c:pt>
                <c:pt idx="6">
                  <c:v>Hardware</c:v>
                </c:pt>
              </c:strCache>
            </c:strRef>
          </c:cat>
          <c:val>
            <c:numRef>
              <c:f>'Summary Dashboard'!$E$4:$E$11</c:f>
              <c:numCache>
                <c:formatCode>0.00</c:formatCode>
                <c:ptCount val="7"/>
                <c:pt idx="0">
                  <c:v>97.824122936547994</c:v>
                </c:pt>
                <c:pt idx="1">
                  <c:v>62.61618182870734</c:v>
                </c:pt>
                <c:pt idx="2">
                  <c:v>54.683194008696937</c:v>
                </c:pt>
                <c:pt idx="3">
                  <c:v>51.542925540115299</c:v>
                </c:pt>
                <c:pt idx="4">
                  <c:v>50.114464239123706</c:v>
                </c:pt>
                <c:pt idx="5">
                  <c:v>44.386786833335648</c:v>
                </c:pt>
                <c:pt idx="6">
                  <c:v>42.636620104167378</c:v>
                </c:pt>
              </c:numCache>
            </c:numRef>
          </c:val>
          <c:extLst>
            <c:ext xmlns:c16="http://schemas.microsoft.com/office/drawing/2014/chart" uri="{C3380CC4-5D6E-409C-BE32-E72D297353CC}">
              <c16:uniqueId val="{00000000-1F1F-4D70-812D-9F1CDEB21645}"/>
            </c:ext>
          </c:extLst>
        </c:ser>
        <c:dLbls>
          <c:showLegendKey val="0"/>
          <c:showVal val="0"/>
          <c:showCatName val="0"/>
          <c:showSerName val="0"/>
          <c:showPercent val="0"/>
          <c:showBubbleSize val="0"/>
        </c:dLbls>
        <c:gapWidth val="115"/>
        <c:overlap val="-20"/>
        <c:axId val="1376996416"/>
        <c:axId val="1376996896"/>
      </c:barChart>
      <c:catAx>
        <c:axId val="1376996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bg1"/>
                </a:solidFill>
                <a:latin typeface="+mn-lt"/>
                <a:ea typeface="+mn-ea"/>
                <a:cs typeface="+mn-cs"/>
              </a:defRPr>
            </a:pPr>
            <a:endParaRPr lang="en-US"/>
          </a:p>
        </c:txPr>
        <c:crossAx val="1376996896"/>
        <c:crosses val="autoZero"/>
        <c:auto val="1"/>
        <c:lblAlgn val="ctr"/>
        <c:lblOffset val="100"/>
        <c:noMultiLvlLbl val="0"/>
      </c:catAx>
      <c:valAx>
        <c:axId val="1376996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7699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158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Dashboard!PivotTable4</c:name>
    <c:fmtId val="9"/>
  </c:pivotSource>
  <c:chart>
    <c:title>
      <c:layout>
        <c:manualLayout>
          <c:xMode val="edge"/>
          <c:yMode val="edge"/>
          <c:x val="0.39484201237071059"/>
          <c:y val="0.1100904053659959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sq">
            <a:solidFill>
              <a:schemeClr val="accent1">
                <a:alpha val="90000"/>
              </a:schemeClr>
            </a:solidFill>
            <a:miter lim="800000"/>
          </a:ln>
          <a:effectLst>
            <a:glow rad="139700">
              <a:schemeClr val="accent1">
                <a:satMod val="175000"/>
                <a:alpha val="14000"/>
              </a:schemeClr>
            </a:glow>
          </a:effectLst>
        </c:spPr>
        <c:marker>
          <c:symbol val="circle"/>
          <c:size val="4"/>
          <c:spPr>
            <a:solidFill>
              <a:srgbClr val="FF0000"/>
            </a:solidFill>
            <a:ln w="34925" cap="rnd">
              <a:solidFill>
                <a:schemeClr val="accent2"/>
              </a:solidFill>
              <a:beve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 Dashboard'!$K$3</c:f>
              <c:strCache>
                <c:ptCount val="1"/>
                <c:pt idx="0">
                  <c:v>Total</c:v>
                </c:pt>
              </c:strCache>
            </c:strRef>
          </c:tx>
          <c:spPr>
            <a:ln w="22225" cap="sq">
              <a:solidFill>
                <a:schemeClr val="accent1">
                  <a:alpha val="90000"/>
                </a:schemeClr>
              </a:solidFill>
              <a:miter lim="800000"/>
            </a:ln>
            <a:effectLst>
              <a:glow rad="139700">
                <a:schemeClr val="accent1">
                  <a:satMod val="175000"/>
                  <a:alpha val="14000"/>
                </a:schemeClr>
              </a:glow>
            </a:effectLst>
          </c:spPr>
          <c:marker>
            <c:symbol val="circle"/>
            <c:size val="4"/>
            <c:spPr>
              <a:solidFill>
                <a:srgbClr val="FF0000"/>
              </a:solidFill>
              <a:ln w="34925" cap="rnd">
                <a:solidFill>
                  <a:schemeClr val="accent2"/>
                </a:solidFill>
                <a:bevel/>
              </a:ln>
              <a:effectLst>
                <a:glow rad="63500">
                  <a:schemeClr val="accent1">
                    <a:satMod val="175000"/>
                    <a:alpha val="25000"/>
                  </a:schemeClr>
                </a:glow>
              </a:effectLst>
            </c:spPr>
          </c:marker>
          <c:cat>
            <c:strRef>
              <c:f>'Summary Dashboard'!$J$4:$J$14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'Summary Dashboard'!$K$4:$K$14</c:f>
              <c:numCache>
                <c:formatCode>0.00</c:formatCode>
                <c:ptCount val="10"/>
                <c:pt idx="0">
                  <c:v>27.262369900771382</c:v>
                </c:pt>
                <c:pt idx="1">
                  <c:v>33.453871150792111</c:v>
                </c:pt>
                <c:pt idx="2">
                  <c:v>35.375343632458957</c:v>
                </c:pt>
                <c:pt idx="3">
                  <c:v>46.389953906244045</c:v>
                </c:pt>
                <c:pt idx="4">
                  <c:v>47.042569012355266</c:v>
                </c:pt>
                <c:pt idx="5">
                  <c:v>50.214652516334731</c:v>
                </c:pt>
                <c:pt idx="6">
                  <c:v>64.433295659713622</c:v>
                </c:pt>
                <c:pt idx="7">
                  <c:v>66.843557968742971</c:v>
                </c:pt>
                <c:pt idx="8">
                  <c:v>72.610398218949896</c:v>
                </c:pt>
                <c:pt idx="9">
                  <c:v>82.225628944439819</c:v>
                </c:pt>
              </c:numCache>
            </c:numRef>
          </c:val>
          <c:smooth val="1"/>
          <c:extLst>
            <c:ext xmlns:c16="http://schemas.microsoft.com/office/drawing/2014/chart" uri="{C3380CC4-5D6E-409C-BE32-E72D297353CC}">
              <c16:uniqueId val="{00000000-9F1F-4549-ADEB-07D07A718043}"/>
            </c:ext>
          </c:extLst>
        </c:ser>
        <c:dLbls>
          <c:showLegendKey val="0"/>
          <c:showVal val="0"/>
          <c:showCatName val="0"/>
          <c:showSerName val="0"/>
          <c:showPercent val="0"/>
          <c:showBubbleSize val="0"/>
        </c:dLbls>
        <c:marker val="1"/>
        <c:smooth val="0"/>
        <c:axId val="287545072"/>
        <c:axId val="287546512"/>
      </c:lineChart>
      <c:catAx>
        <c:axId val="287545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7546512"/>
        <c:crosses val="autoZero"/>
        <c:auto val="1"/>
        <c:lblAlgn val="ctr"/>
        <c:lblOffset val="100"/>
        <c:noMultiLvlLbl val="0"/>
      </c:catAx>
      <c:valAx>
        <c:axId val="287546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75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158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Dashboard!PivotTable3</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'Summary 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C96-41FA-B6AB-51EB2DB75F6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C96-41FA-B6AB-51EB2DB75F6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C96-41FA-B6AB-51EB2DB75F6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C96-41FA-B6AB-51EB2DB75F6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 Dashboard'!$G$4:$G$8</c:f>
              <c:strCache>
                <c:ptCount val="4"/>
                <c:pt idx="0">
                  <c:v>Low</c:v>
                </c:pt>
                <c:pt idx="1">
                  <c:v>Medium</c:v>
                </c:pt>
                <c:pt idx="2">
                  <c:v>High</c:v>
                </c:pt>
                <c:pt idx="3">
                  <c:v>Critical</c:v>
                </c:pt>
              </c:strCache>
            </c:strRef>
          </c:cat>
          <c:val>
            <c:numRef>
              <c:f>'Summary Dashboard'!$H$4:$H$8</c:f>
              <c:numCache>
                <c:formatCode>0.00</c:formatCode>
                <c:ptCount val="4"/>
                <c:pt idx="0">
                  <c:v>105.14095550287688</c:v>
                </c:pt>
                <c:pt idx="1">
                  <c:v>27.309928223086033</c:v>
                </c:pt>
                <c:pt idx="2">
                  <c:v>6.6783504444546997</c:v>
                </c:pt>
                <c:pt idx="3">
                  <c:v>2.2080752082983963</c:v>
                </c:pt>
              </c:numCache>
            </c:numRef>
          </c:val>
          <c:extLst>
            <c:ext xmlns:c16="http://schemas.microsoft.com/office/drawing/2014/chart" uri="{C3380CC4-5D6E-409C-BE32-E72D297353CC}">
              <c16:uniqueId val="{00000008-BC96-41FA-B6AB-51EB2DB75F69}"/>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Dashboard!PivotTable1</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 Dashboard'!$B$3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'Summary Dashboard'!$A$4:$A$8</c:f>
              <c:strCache>
                <c:ptCount val="4"/>
                <c:pt idx="0">
                  <c:v>Jun</c:v>
                </c:pt>
                <c:pt idx="1">
                  <c:v>Sep</c:v>
                </c:pt>
                <c:pt idx="2">
                  <c:v>Aug</c:v>
                </c:pt>
                <c:pt idx="3">
                  <c:v>Jul</c:v>
                </c:pt>
              </c:strCache>
            </c:strRef>
          </c:cat>
          <c:val>
            <c:numRef>
              <c:f>'Summary Dashboard'!$B$4:$B$8</c:f>
              <c:numCache>
                <c:formatCode>General</c:formatCode>
                <c:ptCount val="4"/>
                <c:pt idx="0">
                  <c:v>27</c:v>
                </c:pt>
                <c:pt idx="1">
                  <c:v>27</c:v>
                </c:pt>
                <c:pt idx="2">
                  <c:v>45</c:v>
                </c:pt>
                <c:pt idx="3">
                  <c:v>51</c:v>
                </c:pt>
              </c:numCache>
            </c:numRef>
          </c:val>
          <c:smooth val="0"/>
          <c:extLst>
            <c:ext xmlns:c16="http://schemas.microsoft.com/office/drawing/2014/chart" uri="{C3380CC4-5D6E-409C-BE32-E72D297353CC}">
              <c16:uniqueId val="{00000000-99E3-4988-B47D-D02AA809BB3B}"/>
            </c:ext>
          </c:extLst>
        </c:ser>
        <c:dLbls>
          <c:dLblPos val="ctr"/>
          <c:showLegendKey val="0"/>
          <c:showVal val="1"/>
          <c:showCatName val="0"/>
          <c:showSerName val="0"/>
          <c:showPercent val="0"/>
          <c:showBubbleSize val="0"/>
        </c:dLbls>
        <c:marker val="1"/>
        <c:smooth val="0"/>
        <c:axId val="1437160528"/>
        <c:axId val="1437161008"/>
      </c:lineChart>
      <c:catAx>
        <c:axId val="1437160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161008"/>
        <c:crosses val="autoZero"/>
        <c:auto val="1"/>
        <c:lblAlgn val="ctr"/>
        <c:lblOffset val="100"/>
        <c:noMultiLvlLbl val="0"/>
      </c:catAx>
      <c:valAx>
        <c:axId val="1437161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71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Dashboard!PivotTable2</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Dashboard'!$E$3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Dashboard'!$D$4:$D$11</c:f>
              <c:strCache>
                <c:ptCount val="7"/>
                <c:pt idx="0">
                  <c:v>Security</c:v>
                </c:pt>
                <c:pt idx="1">
                  <c:v>Billing</c:v>
                </c:pt>
                <c:pt idx="2">
                  <c:v>Software</c:v>
                </c:pt>
                <c:pt idx="3">
                  <c:v>Other</c:v>
                </c:pt>
                <c:pt idx="4">
                  <c:v>Network</c:v>
                </c:pt>
                <c:pt idx="5">
                  <c:v>Access</c:v>
                </c:pt>
                <c:pt idx="6">
                  <c:v>Hardware</c:v>
                </c:pt>
              </c:strCache>
            </c:strRef>
          </c:cat>
          <c:val>
            <c:numRef>
              <c:f>'Summary Dashboard'!$E$4:$E$11</c:f>
              <c:numCache>
                <c:formatCode>0.00</c:formatCode>
                <c:ptCount val="7"/>
                <c:pt idx="0">
                  <c:v>97.824122936547994</c:v>
                </c:pt>
                <c:pt idx="1">
                  <c:v>62.61618182870734</c:v>
                </c:pt>
                <c:pt idx="2">
                  <c:v>54.683194008696937</c:v>
                </c:pt>
                <c:pt idx="3">
                  <c:v>51.542925540115299</c:v>
                </c:pt>
                <c:pt idx="4">
                  <c:v>50.114464239123706</c:v>
                </c:pt>
                <c:pt idx="5">
                  <c:v>44.386786833335648</c:v>
                </c:pt>
                <c:pt idx="6">
                  <c:v>42.636620104167378</c:v>
                </c:pt>
              </c:numCache>
            </c:numRef>
          </c:val>
          <c:extLst>
            <c:ext xmlns:c16="http://schemas.microsoft.com/office/drawing/2014/chart" uri="{C3380CC4-5D6E-409C-BE32-E72D297353CC}">
              <c16:uniqueId val="{00000000-9EE2-4C07-B6BB-038FA78A8AE4}"/>
            </c:ext>
          </c:extLst>
        </c:ser>
        <c:dLbls>
          <c:showLegendKey val="0"/>
          <c:showVal val="0"/>
          <c:showCatName val="0"/>
          <c:showSerName val="0"/>
          <c:showPercent val="0"/>
          <c:showBubbleSize val="0"/>
        </c:dLbls>
        <c:gapWidth val="115"/>
        <c:overlap val="-20"/>
        <c:axId val="1376996416"/>
        <c:axId val="1376996896"/>
      </c:barChart>
      <c:catAx>
        <c:axId val="1376996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96896"/>
        <c:crosses val="autoZero"/>
        <c:auto val="1"/>
        <c:lblAlgn val="ctr"/>
        <c:lblOffset val="100"/>
        <c:noMultiLvlLbl val="0"/>
      </c:catAx>
      <c:valAx>
        <c:axId val="13769968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9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help_desk_tickets.xlsx]Summary Dashboard!PivotTable4</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'Summary Dashboard'!$K$3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'Summary Dashboard'!$J$4:$J$14</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'Summary Dashboard'!$K$4:$K$14</c:f>
              <c:numCache>
                <c:formatCode>0.00</c:formatCode>
                <c:ptCount val="10"/>
                <c:pt idx="0">
                  <c:v>27.262369900771382</c:v>
                </c:pt>
                <c:pt idx="1">
                  <c:v>33.453871150792111</c:v>
                </c:pt>
                <c:pt idx="2">
                  <c:v>35.375343632458957</c:v>
                </c:pt>
                <c:pt idx="3">
                  <c:v>46.389953906244045</c:v>
                </c:pt>
                <c:pt idx="4">
                  <c:v>47.042569012355266</c:v>
                </c:pt>
                <c:pt idx="5">
                  <c:v>50.214652516334731</c:v>
                </c:pt>
                <c:pt idx="6">
                  <c:v>64.433295659713622</c:v>
                </c:pt>
                <c:pt idx="7">
                  <c:v>66.843557968742971</c:v>
                </c:pt>
                <c:pt idx="8">
                  <c:v>72.610398218949896</c:v>
                </c:pt>
                <c:pt idx="9">
                  <c:v>82.225628944439819</c:v>
                </c:pt>
              </c:numCache>
            </c:numRef>
          </c:val>
          <c:smooth val="0"/>
          <c:extLst>
            <c:ext xmlns:c16="http://schemas.microsoft.com/office/drawing/2014/chart" uri="{C3380CC4-5D6E-409C-BE32-E72D297353CC}">
              <c16:uniqueId val="{00000000-B677-4BAC-B652-402EFC2C31E5}"/>
            </c:ext>
          </c:extLst>
        </c:ser>
        <c:dLbls>
          <c:showLegendKey val="0"/>
          <c:showVal val="0"/>
          <c:showCatName val="0"/>
          <c:showSerName val="0"/>
          <c:showPercent val="0"/>
          <c:showBubbleSize val="0"/>
        </c:dLbls>
        <c:marker val="1"/>
        <c:smooth val="0"/>
        <c:axId val="287545072"/>
        <c:axId val="287546512"/>
      </c:lineChart>
      <c:catAx>
        <c:axId val="287545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7546512"/>
        <c:crosses val="autoZero"/>
        <c:auto val="1"/>
        <c:lblAlgn val="ctr"/>
        <c:lblOffset val="100"/>
        <c:noMultiLvlLbl val="0"/>
      </c:catAx>
      <c:valAx>
        <c:axId val="287546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75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31805</xdr:colOff>
      <xdr:row>3</xdr:row>
      <xdr:rowOff>1</xdr:rowOff>
    </xdr:from>
    <xdr:to>
      <xdr:col>20</xdr:col>
      <xdr:colOff>7951</xdr:colOff>
      <xdr:row>40</xdr:row>
      <xdr:rowOff>111319</xdr:rowOff>
    </xdr:to>
    <xdr:sp macro="" textlink="">
      <xdr:nvSpPr>
        <xdr:cNvPr id="2" name="Rectangle: Rounded Corners 1">
          <a:extLst>
            <a:ext uri="{FF2B5EF4-FFF2-40B4-BE49-F238E27FC236}">
              <a16:creationId xmlns:a16="http://schemas.microsoft.com/office/drawing/2014/main" id="{BF550CCC-6CB1-0C92-D03B-C3FABB5E08CF}"/>
            </a:ext>
          </a:extLst>
        </xdr:cNvPr>
        <xdr:cNvSpPr/>
      </xdr:nvSpPr>
      <xdr:spPr>
        <a:xfrm>
          <a:off x="1940118" y="572495"/>
          <a:ext cx="10789920" cy="7172076"/>
        </a:xfrm>
        <a:prstGeom prst="roundRect">
          <a:avLst>
            <a:gd name="adj" fmla="val 2569"/>
          </a:avLst>
        </a:prstGeom>
        <a:solidFill>
          <a:schemeClr val="tx2">
            <a:lumMod val="50000"/>
            <a:alpha val="92000"/>
          </a:schemeClr>
        </a:solidFill>
        <a:ln w="15875" cap="rnd">
          <a:solidFill>
            <a:schemeClr val="accent5">
              <a:alpha val="97000"/>
            </a:schemeClr>
          </a:solidFill>
          <a:round/>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278295</xdr:colOff>
      <xdr:row>25</xdr:row>
      <xdr:rowOff>103364</xdr:rowOff>
    </xdr:from>
    <xdr:to>
      <xdr:col>12</xdr:col>
      <xdr:colOff>620202</xdr:colOff>
      <xdr:row>39</xdr:row>
      <xdr:rowOff>174926</xdr:rowOff>
    </xdr:to>
    <xdr:graphicFrame macro="">
      <xdr:nvGraphicFramePr>
        <xdr:cNvPr id="3" name="Chart 2">
          <a:extLst>
            <a:ext uri="{FF2B5EF4-FFF2-40B4-BE49-F238E27FC236}">
              <a16:creationId xmlns:a16="http://schemas.microsoft.com/office/drawing/2014/main" id="{EF3FBD55-6BE9-42C1-9714-86CCDBCCE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286248</xdr:colOff>
      <xdr:row>11</xdr:row>
      <xdr:rowOff>159025</xdr:rowOff>
    </xdr:from>
    <xdr:to>
      <xdr:col>12</xdr:col>
      <xdr:colOff>620203</xdr:colOff>
      <xdr:row>25</xdr:row>
      <xdr:rowOff>63605</xdr:rowOff>
    </xdr:to>
    <xdr:graphicFrame macro="">
      <xdr:nvGraphicFramePr>
        <xdr:cNvPr id="4" name="Chart 3">
          <a:extLst>
            <a:ext uri="{FF2B5EF4-FFF2-40B4-BE49-F238E27FC236}">
              <a16:creationId xmlns:a16="http://schemas.microsoft.com/office/drawing/2014/main" id="{BA0ABA9B-1ABE-4B39-9DA5-779087322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47707</xdr:colOff>
      <xdr:row>11</xdr:row>
      <xdr:rowOff>159027</xdr:rowOff>
    </xdr:from>
    <xdr:to>
      <xdr:col>19</xdr:col>
      <xdr:colOff>540688</xdr:colOff>
      <xdr:row>25</xdr:row>
      <xdr:rowOff>47708</xdr:rowOff>
    </xdr:to>
    <xdr:graphicFrame macro="">
      <xdr:nvGraphicFramePr>
        <xdr:cNvPr id="5" name="Chart 4">
          <a:extLst>
            <a:ext uri="{FF2B5EF4-FFF2-40B4-BE49-F238E27FC236}">
              <a16:creationId xmlns:a16="http://schemas.microsoft.com/office/drawing/2014/main" id="{E9E0C5F5-EE31-45C9-9100-DC0A522F6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55658</xdr:colOff>
      <xdr:row>25</xdr:row>
      <xdr:rowOff>127217</xdr:rowOff>
    </xdr:from>
    <xdr:to>
      <xdr:col>19</xdr:col>
      <xdr:colOff>540688</xdr:colOff>
      <xdr:row>39</xdr:row>
      <xdr:rowOff>159026</xdr:rowOff>
    </xdr:to>
    <xdr:graphicFrame macro="">
      <xdr:nvGraphicFramePr>
        <xdr:cNvPr id="6" name="Chart 5">
          <a:extLst>
            <a:ext uri="{FF2B5EF4-FFF2-40B4-BE49-F238E27FC236}">
              <a16:creationId xmlns:a16="http://schemas.microsoft.com/office/drawing/2014/main" id="{11353E9B-2ED1-4421-A0E2-0B69049CC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23854</xdr:colOff>
      <xdr:row>7</xdr:row>
      <xdr:rowOff>63611</xdr:rowOff>
    </xdr:from>
    <xdr:to>
      <xdr:col>13</xdr:col>
      <xdr:colOff>246490</xdr:colOff>
      <xdr:row>11</xdr:row>
      <xdr:rowOff>119270</xdr:rowOff>
    </xdr:to>
    <xdr:sp macro="" textlink="'Summary Dashboard'!B18">
      <xdr:nvSpPr>
        <xdr:cNvPr id="14" name="Rectangle: Rounded Corners 13">
          <a:extLst>
            <a:ext uri="{FF2B5EF4-FFF2-40B4-BE49-F238E27FC236}">
              <a16:creationId xmlns:a16="http://schemas.microsoft.com/office/drawing/2014/main" id="{DA439DD5-84AC-B69A-037B-D52ACCDDB7F3}"/>
            </a:ext>
          </a:extLst>
        </xdr:cNvPr>
        <xdr:cNvSpPr/>
      </xdr:nvSpPr>
      <xdr:spPr>
        <a:xfrm>
          <a:off x="6384897" y="1399430"/>
          <a:ext cx="2130950" cy="818984"/>
        </a:xfrm>
        <a:prstGeom prst="roundRect">
          <a:avLst>
            <a:gd name="adj" fmla="val 6463"/>
          </a:avLst>
        </a:prstGeom>
        <a:solidFill>
          <a:schemeClr val="tx1">
            <a:lumMod val="75000"/>
            <a:lumOff val="25000"/>
            <a:alpha val="50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4CAF43A-61A2-45AA-B90B-736867FC6351}" type="TxLink">
            <a:rPr lang="en-US" sz="1400" b="1" i="0" u="none" strike="noStrike">
              <a:solidFill>
                <a:schemeClr val="bg1"/>
              </a:solidFill>
              <a:latin typeface="Calibri"/>
              <a:ea typeface="Calibri"/>
              <a:cs typeface="Calibri"/>
            </a:rPr>
            <a:pPr marL="0" indent="0" algn="ctr"/>
            <a:t>53.30</a:t>
          </a:fld>
          <a:endParaRPr lang="en-IN" sz="1400" b="1" i="0" u="none" strike="noStrike">
            <a:solidFill>
              <a:schemeClr val="bg1"/>
            </a:solidFill>
            <a:latin typeface="Calibri"/>
            <a:ea typeface="Calibri"/>
            <a:cs typeface="Calibri"/>
          </a:endParaRPr>
        </a:p>
      </xdr:txBody>
    </xdr:sp>
    <xdr:clientData/>
  </xdr:twoCellAnchor>
  <xdr:twoCellAnchor>
    <xdr:from>
      <xdr:col>13</xdr:col>
      <xdr:colOff>302148</xdr:colOff>
      <xdr:row>7</xdr:row>
      <xdr:rowOff>63610</xdr:rowOff>
    </xdr:from>
    <xdr:to>
      <xdr:col>16</xdr:col>
      <xdr:colOff>365759</xdr:colOff>
      <xdr:row>11</xdr:row>
      <xdr:rowOff>103366</xdr:rowOff>
    </xdr:to>
    <xdr:sp macro="" textlink="'Summary Dashboard'!C17:D23">
      <xdr:nvSpPr>
        <xdr:cNvPr id="15" name="Rectangle: Rounded Corners 14">
          <a:extLst>
            <a:ext uri="{FF2B5EF4-FFF2-40B4-BE49-F238E27FC236}">
              <a16:creationId xmlns:a16="http://schemas.microsoft.com/office/drawing/2014/main" id="{EC2F6027-BD85-E140-51A2-BDC262D29D33}"/>
            </a:ext>
          </a:extLst>
        </xdr:cNvPr>
        <xdr:cNvSpPr/>
      </xdr:nvSpPr>
      <xdr:spPr>
        <a:xfrm>
          <a:off x="8571505" y="1399429"/>
          <a:ext cx="1971924" cy="803081"/>
        </a:xfrm>
        <a:prstGeom prst="roundRect">
          <a:avLst>
            <a:gd name="adj" fmla="val 7483"/>
          </a:avLst>
        </a:prstGeom>
        <a:solidFill>
          <a:schemeClr val="tx1">
            <a:lumMod val="75000"/>
            <a:lumOff val="25000"/>
            <a:alpha val="50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163C4C7-9CB9-4430-A4CE-4CDA350357C3}" type="TxLink">
            <a:rPr lang="en-US" sz="1400" b="1" i="0" u="none" strike="noStrike">
              <a:solidFill>
                <a:schemeClr val="bg1"/>
              </a:solidFill>
              <a:latin typeface="Calibri"/>
              <a:ea typeface="Calibri"/>
              <a:cs typeface="Calibri"/>
            </a:rPr>
            <a:pPr algn="ctr"/>
            <a:t>Software</a:t>
          </a:fld>
          <a:endParaRPr lang="en-US" sz="1400" b="1">
            <a:solidFill>
              <a:schemeClr val="bg1"/>
            </a:solidFill>
          </a:endParaRPr>
        </a:p>
      </xdr:txBody>
    </xdr:sp>
    <xdr:clientData/>
  </xdr:twoCellAnchor>
  <xdr:twoCellAnchor>
    <xdr:from>
      <xdr:col>16</xdr:col>
      <xdr:colOff>421416</xdr:colOff>
      <xdr:row>7</xdr:row>
      <xdr:rowOff>79511</xdr:rowOff>
    </xdr:from>
    <xdr:to>
      <xdr:col>19</xdr:col>
      <xdr:colOff>532736</xdr:colOff>
      <xdr:row>11</xdr:row>
      <xdr:rowOff>95414</xdr:rowOff>
    </xdr:to>
    <xdr:sp macro="" textlink="'Summary Dashboard'!E17:F24">
      <xdr:nvSpPr>
        <xdr:cNvPr id="16" name="Rectangle: Rounded Corners 15">
          <a:extLst>
            <a:ext uri="{FF2B5EF4-FFF2-40B4-BE49-F238E27FC236}">
              <a16:creationId xmlns:a16="http://schemas.microsoft.com/office/drawing/2014/main" id="{69CE3ED5-4B9F-CACF-6E05-0910C81F0D25}"/>
            </a:ext>
          </a:extLst>
        </xdr:cNvPr>
        <xdr:cNvSpPr/>
      </xdr:nvSpPr>
      <xdr:spPr>
        <a:xfrm>
          <a:off x="10599086" y="1415330"/>
          <a:ext cx="2019633" cy="779228"/>
        </a:xfrm>
        <a:prstGeom prst="roundRect">
          <a:avLst>
            <a:gd name="adj" fmla="val 6463"/>
          </a:avLst>
        </a:prstGeom>
        <a:solidFill>
          <a:schemeClr val="tx1">
            <a:lumMod val="75000"/>
            <a:lumOff val="25000"/>
            <a:alpha val="50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44D9339C-E9D4-47D9-A31B-B09EF4D36943}" type="TxLink">
            <a:rPr lang="en-US" sz="1400" b="1" i="0" u="none" strike="noStrike">
              <a:solidFill>
                <a:schemeClr val="bg1"/>
              </a:solidFill>
              <a:latin typeface="Calibri"/>
              <a:ea typeface="Calibri"/>
              <a:cs typeface="Calibri"/>
            </a:rPr>
            <a:pPr algn="ctr"/>
            <a:t>Toni Wiley</a:t>
          </a:fld>
          <a:endParaRPr lang="en-IN" sz="1400" b="1">
            <a:solidFill>
              <a:schemeClr val="bg1"/>
            </a:solidFill>
          </a:endParaRPr>
        </a:p>
      </xdr:txBody>
    </xdr:sp>
    <xdr:clientData/>
  </xdr:twoCellAnchor>
  <xdr:twoCellAnchor>
    <xdr:from>
      <xdr:col>6</xdr:col>
      <xdr:colOff>302151</xdr:colOff>
      <xdr:row>7</xdr:row>
      <xdr:rowOff>79513</xdr:rowOff>
    </xdr:from>
    <xdr:to>
      <xdr:col>9</xdr:col>
      <xdr:colOff>612252</xdr:colOff>
      <xdr:row>11</xdr:row>
      <xdr:rowOff>119270</xdr:rowOff>
    </xdr:to>
    <xdr:sp macro="" textlink="'Summary Dashboard'!A18">
      <xdr:nvSpPr>
        <xdr:cNvPr id="20" name="Rectangle: Rounded Corners 19">
          <a:extLst>
            <a:ext uri="{FF2B5EF4-FFF2-40B4-BE49-F238E27FC236}">
              <a16:creationId xmlns:a16="http://schemas.microsoft.com/office/drawing/2014/main" id="{ED22B104-C794-4585-7CBB-BD5A90A64BD5}"/>
            </a:ext>
          </a:extLst>
        </xdr:cNvPr>
        <xdr:cNvSpPr/>
      </xdr:nvSpPr>
      <xdr:spPr>
        <a:xfrm>
          <a:off x="4118777" y="1415332"/>
          <a:ext cx="2218414" cy="803082"/>
        </a:xfrm>
        <a:prstGeom prst="roundRect">
          <a:avLst>
            <a:gd name="adj" fmla="val 6463"/>
          </a:avLst>
        </a:prstGeom>
        <a:solidFill>
          <a:schemeClr val="tx1">
            <a:lumMod val="75000"/>
            <a:lumOff val="25000"/>
            <a:alpha val="50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6C53D45-A786-42B7-AA2A-F2E4E03611CF}" type="TxLink">
            <a:rPr lang="en-US" sz="1400" b="1" i="0" u="none" strike="noStrike">
              <a:solidFill>
                <a:schemeClr val="bg1"/>
              </a:solidFill>
              <a:latin typeface="Calibri"/>
              <a:ea typeface="Calibri"/>
              <a:cs typeface="Calibri"/>
            </a:rPr>
            <a:pPr algn="ctr"/>
            <a:t>150</a:t>
          </a:fld>
          <a:endParaRPr lang="en-IN" sz="1400" b="1">
            <a:solidFill>
              <a:schemeClr val="bg1"/>
            </a:solidFill>
          </a:endParaRPr>
        </a:p>
      </xdr:txBody>
    </xdr:sp>
    <xdr:clientData/>
  </xdr:twoCellAnchor>
  <xdr:twoCellAnchor>
    <xdr:from>
      <xdr:col>3</xdr:col>
      <xdr:colOff>111318</xdr:colOff>
      <xdr:row>3</xdr:row>
      <xdr:rowOff>47707</xdr:rowOff>
    </xdr:from>
    <xdr:to>
      <xdr:col>19</xdr:col>
      <xdr:colOff>564542</xdr:colOff>
      <xdr:row>7</xdr:row>
      <xdr:rowOff>15903</xdr:rowOff>
    </xdr:to>
    <xdr:sp macro="" textlink="">
      <xdr:nvSpPr>
        <xdr:cNvPr id="21" name="Rectangle: Rounded Corners 20">
          <a:extLst>
            <a:ext uri="{FF2B5EF4-FFF2-40B4-BE49-F238E27FC236}">
              <a16:creationId xmlns:a16="http://schemas.microsoft.com/office/drawing/2014/main" id="{A3ADE71E-A7DD-78CF-3BDD-BEA9E3BB1BE1}"/>
            </a:ext>
          </a:extLst>
        </xdr:cNvPr>
        <xdr:cNvSpPr/>
      </xdr:nvSpPr>
      <xdr:spPr>
        <a:xfrm>
          <a:off x="2019631" y="620201"/>
          <a:ext cx="10630894" cy="731521"/>
        </a:xfrm>
        <a:prstGeom prst="roundRect">
          <a:avLst>
            <a:gd name="adj" fmla="val 34014"/>
          </a:avLst>
        </a:prstGeom>
        <a:solidFill>
          <a:schemeClr val="tx1">
            <a:lumMod val="75000"/>
            <a:lumOff val="25000"/>
            <a:alpha val="50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135173</xdr:colOff>
      <xdr:row>7</xdr:row>
      <xdr:rowOff>103367</xdr:rowOff>
    </xdr:from>
    <xdr:to>
      <xdr:col>6</xdr:col>
      <xdr:colOff>230587</xdr:colOff>
      <xdr:row>40</xdr:row>
      <xdr:rowOff>47708</xdr:rowOff>
    </xdr:to>
    <xdr:sp macro="" textlink="">
      <xdr:nvSpPr>
        <xdr:cNvPr id="22" name="Rectangle: Rounded Corners 21">
          <a:extLst>
            <a:ext uri="{FF2B5EF4-FFF2-40B4-BE49-F238E27FC236}">
              <a16:creationId xmlns:a16="http://schemas.microsoft.com/office/drawing/2014/main" id="{52F5C852-D485-0AC1-6A71-43732758BFEA}"/>
            </a:ext>
          </a:extLst>
        </xdr:cNvPr>
        <xdr:cNvSpPr/>
      </xdr:nvSpPr>
      <xdr:spPr>
        <a:xfrm>
          <a:off x="2043486" y="1439186"/>
          <a:ext cx="2003727" cy="6241774"/>
        </a:xfrm>
        <a:prstGeom prst="roundRect">
          <a:avLst>
            <a:gd name="adj" fmla="val 6463"/>
          </a:avLst>
        </a:prstGeom>
        <a:solidFill>
          <a:schemeClr val="tx1">
            <a:lumMod val="75000"/>
            <a:lumOff val="25000"/>
          </a:schemeClr>
        </a:solidFill>
        <a:ln w="15875">
          <a:solidFill>
            <a:schemeClr val="accent2">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190832</xdr:colOff>
      <xdr:row>8</xdr:row>
      <xdr:rowOff>31806</xdr:rowOff>
    </xdr:from>
    <xdr:to>
      <xdr:col>6</xdr:col>
      <xdr:colOff>111319</xdr:colOff>
      <xdr:row>20</xdr:row>
      <xdr:rowOff>159026</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CA2620B0-B4E9-44FC-8A4B-0B51024646B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99145" y="1558456"/>
              <a:ext cx="1828800" cy="2417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166979</xdr:colOff>
      <xdr:row>28</xdr:row>
      <xdr:rowOff>87464</xdr:rowOff>
    </xdr:from>
    <xdr:to>
      <xdr:col>6</xdr:col>
      <xdr:colOff>113590</xdr:colOff>
      <xdr:row>40</xdr:row>
      <xdr:rowOff>0</xdr:rowOff>
    </xdr:to>
    <mc:AlternateContent xmlns:mc="http://schemas.openxmlformats.org/markup-compatibility/2006">
      <mc:Choice xmlns:a14="http://schemas.microsoft.com/office/drawing/2010/main" Requires="a14">
        <xdr:graphicFrame macro="">
          <xdr:nvGraphicFramePr>
            <xdr:cNvPr id="24" name="assigned_analyst 1">
              <a:extLst>
                <a:ext uri="{FF2B5EF4-FFF2-40B4-BE49-F238E27FC236}">
                  <a16:creationId xmlns:a16="http://schemas.microsoft.com/office/drawing/2014/main" id="{4BC2D1FA-01C3-4A8C-B340-545481773DAB}"/>
                </a:ext>
              </a:extLst>
            </xdr:cNvPr>
            <xdr:cNvGraphicFramePr/>
          </xdr:nvGraphicFramePr>
          <xdr:xfrm>
            <a:off x="0" y="0"/>
            <a:ext cx="0" cy="0"/>
          </xdr:xfrm>
          <a:graphic>
            <a:graphicData uri="http://schemas.microsoft.com/office/drawing/2010/slicer">
              <sle:slicer xmlns:sle="http://schemas.microsoft.com/office/drawing/2010/slicer" name="assigned_analyst 1"/>
            </a:graphicData>
          </a:graphic>
        </xdr:graphicFrame>
      </mc:Choice>
      <mc:Fallback>
        <xdr:sp macro="" textlink="">
          <xdr:nvSpPr>
            <xdr:cNvPr id="0" name=""/>
            <xdr:cNvSpPr>
              <a:spLocks noTextEdit="1"/>
            </xdr:cNvSpPr>
          </xdr:nvSpPr>
          <xdr:spPr>
            <a:xfrm>
              <a:off x="2075292" y="5430741"/>
              <a:ext cx="1854924" cy="2202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198784</xdr:colOff>
      <xdr:row>20</xdr:row>
      <xdr:rowOff>79514</xdr:rowOff>
    </xdr:from>
    <xdr:to>
      <xdr:col>6</xdr:col>
      <xdr:colOff>119271</xdr:colOff>
      <xdr:row>28</xdr:row>
      <xdr:rowOff>47707</xdr:rowOff>
    </xdr:to>
    <mc:AlternateContent xmlns:mc="http://schemas.openxmlformats.org/markup-compatibility/2006">
      <mc:Choice xmlns:a14="http://schemas.microsoft.com/office/drawing/2010/main" Requires="a14">
        <xdr:graphicFrame macro="">
          <xdr:nvGraphicFramePr>
            <xdr:cNvPr id="25" name="priority 1">
              <a:extLst>
                <a:ext uri="{FF2B5EF4-FFF2-40B4-BE49-F238E27FC236}">
                  <a16:creationId xmlns:a16="http://schemas.microsoft.com/office/drawing/2014/main" id="{8BFDE4E5-8302-4AD7-8BA7-5E19CB989833}"/>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2107097" y="3896140"/>
              <a:ext cx="1828800" cy="1494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238540</xdr:colOff>
      <xdr:row>7</xdr:row>
      <xdr:rowOff>87464</xdr:rowOff>
    </xdr:from>
    <xdr:to>
      <xdr:col>9</xdr:col>
      <xdr:colOff>373710</xdr:colOff>
      <xdr:row>9</xdr:row>
      <xdr:rowOff>15902</xdr:rowOff>
    </xdr:to>
    <xdr:sp macro="" textlink="">
      <xdr:nvSpPr>
        <xdr:cNvPr id="26" name="TextBox 25">
          <a:extLst>
            <a:ext uri="{FF2B5EF4-FFF2-40B4-BE49-F238E27FC236}">
              <a16:creationId xmlns:a16="http://schemas.microsoft.com/office/drawing/2014/main" id="{8F2AC33D-4C51-DBC1-17DE-96808FF3598C}"/>
            </a:ext>
          </a:extLst>
        </xdr:cNvPr>
        <xdr:cNvSpPr txBox="1"/>
      </xdr:nvSpPr>
      <xdr:spPr>
        <a:xfrm>
          <a:off x="4691270" y="1423283"/>
          <a:ext cx="1407379" cy="31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Tickets</a:t>
          </a:r>
        </a:p>
      </xdr:txBody>
    </xdr:sp>
    <xdr:clientData/>
  </xdr:twoCellAnchor>
  <xdr:twoCellAnchor>
    <xdr:from>
      <xdr:col>10</xdr:col>
      <xdr:colOff>87465</xdr:colOff>
      <xdr:row>7</xdr:row>
      <xdr:rowOff>47708</xdr:rowOff>
    </xdr:from>
    <xdr:to>
      <xdr:col>13</xdr:col>
      <xdr:colOff>270344</xdr:colOff>
      <xdr:row>8</xdr:row>
      <xdr:rowOff>166978</xdr:rowOff>
    </xdr:to>
    <xdr:sp macro="" textlink="">
      <xdr:nvSpPr>
        <xdr:cNvPr id="27" name="TextBox 26">
          <a:extLst>
            <a:ext uri="{FF2B5EF4-FFF2-40B4-BE49-F238E27FC236}">
              <a16:creationId xmlns:a16="http://schemas.microsoft.com/office/drawing/2014/main" id="{48561B1A-87B6-195D-D33A-9FFE1D38F80E}"/>
            </a:ext>
          </a:extLst>
        </xdr:cNvPr>
        <xdr:cNvSpPr txBox="1"/>
      </xdr:nvSpPr>
      <xdr:spPr>
        <a:xfrm>
          <a:off x="6448508" y="1383527"/>
          <a:ext cx="2091193" cy="31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Avg</a:t>
          </a:r>
          <a:r>
            <a:rPr lang="en-IN" sz="1600" b="1" baseline="0">
              <a:solidFill>
                <a:schemeClr val="bg1"/>
              </a:solidFill>
            </a:rPr>
            <a:t> Resolution  Hours</a:t>
          </a:r>
          <a:endParaRPr lang="en-IN" sz="1600" b="1">
            <a:solidFill>
              <a:schemeClr val="bg1"/>
            </a:solidFill>
          </a:endParaRPr>
        </a:p>
      </xdr:txBody>
    </xdr:sp>
    <xdr:clientData/>
  </xdr:twoCellAnchor>
  <xdr:twoCellAnchor>
    <xdr:from>
      <xdr:col>13</xdr:col>
      <xdr:colOff>516833</xdr:colOff>
      <xdr:row>7</xdr:row>
      <xdr:rowOff>71562</xdr:rowOff>
    </xdr:from>
    <xdr:to>
      <xdr:col>16</xdr:col>
      <xdr:colOff>405515</xdr:colOff>
      <xdr:row>9</xdr:row>
      <xdr:rowOff>47709</xdr:rowOff>
    </xdr:to>
    <xdr:sp macro="" textlink="">
      <xdr:nvSpPr>
        <xdr:cNvPr id="28" name="TextBox 27">
          <a:extLst>
            <a:ext uri="{FF2B5EF4-FFF2-40B4-BE49-F238E27FC236}">
              <a16:creationId xmlns:a16="http://schemas.microsoft.com/office/drawing/2014/main" id="{53BAD1A9-157F-9F0B-5C92-790C332C492D}"/>
            </a:ext>
          </a:extLst>
        </xdr:cNvPr>
        <xdr:cNvSpPr txBox="1"/>
      </xdr:nvSpPr>
      <xdr:spPr>
        <a:xfrm>
          <a:off x="8786190" y="1407381"/>
          <a:ext cx="1796995" cy="35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Top Issue Category</a:t>
          </a:r>
        </a:p>
      </xdr:txBody>
    </xdr:sp>
    <xdr:clientData/>
  </xdr:twoCellAnchor>
  <xdr:twoCellAnchor>
    <xdr:from>
      <xdr:col>14</xdr:col>
      <xdr:colOff>166977</xdr:colOff>
      <xdr:row>9</xdr:row>
      <xdr:rowOff>166977</xdr:rowOff>
    </xdr:from>
    <xdr:to>
      <xdr:col>15</xdr:col>
      <xdr:colOff>612251</xdr:colOff>
      <xdr:row>11</xdr:row>
      <xdr:rowOff>31806</xdr:rowOff>
    </xdr:to>
    <xdr:sp macro="" textlink="'Summary Dashboard'!D17:D23">
      <xdr:nvSpPr>
        <xdr:cNvPr id="29" name="Rectangle: Rounded Corners 28">
          <a:extLst>
            <a:ext uri="{FF2B5EF4-FFF2-40B4-BE49-F238E27FC236}">
              <a16:creationId xmlns:a16="http://schemas.microsoft.com/office/drawing/2014/main" id="{3BCD3F7D-13B5-3E0F-A7D2-14DF33A376B1}"/>
            </a:ext>
          </a:extLst>
        </xdr:cNvPr>
        <xdr:cNvSpPr/>
      </xdr:nvSpPr>
      <xdr:spPr>
        <a:xfrm>
          <a:off x="9072438" y="1884459"/>
          <a:ext cx="1081378" cy="246491"/>
        </a:xfrm>
        <a:prstGeom prst="roundRect">
          <a:avLst>
            <a:gd name="adj" fmla="val 6463"/>
          </a:avLst>
        </a:prstGeom>
        <a:noFill/>
        <a:ln w="15875">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B126663E-1CD5-4F2E-AC1C-B5DA76E3C4F7}" type="TxLink">
            <a:rPr lang="en-US" sz="1400" b="1" i="0" u="none" strike="noStrike">
              <a:solidFill>
                <a:schemeClr val="bg1"/>
              </a:solidFill>
              <a:latin typeface="Calibri"/>
              <a:ea typeface="Calibri"/>
              <a:cs typeface="Calibri"/>
            </a:rPr>
            <a:pPr algn="ctr"/>
            <a:t>51</a:t>
          </a:fld>
          <a:endParaRPr lang="en-IN" sz="1400" b="1">
            <a:solidFill>
              <a:schemeClr val="bg1"/>
            </a:solidFill>
          </a:endParaRPr>
        </a:p>
      </xdr:txBody>
    </xdr:sp>
    <xdr:clientData/>
  </xdr:twoCellAnchor>
  <xdr:twoCellAnchor>
    <xdr:from>
      <xdr:col>17</xdr:col>
      <xdr:colOff>79513</xdr:colOff>
      <xdr:row>7</xdr:row>
      <xdr:rowOff>55658</xdr:rowOff>
    </xdr:from>
    <xdr:to>
      <xdr:col>19</xdr:col>
      <xdr:colOff>333953</xdr:colOff>
      <xdr:row>9</xdr:row>
      <xdr:rowOff>111319</xdr:rowOff>
    </xdr:to>
    <xdr:sp macro="" textlink="">
      <xdr:nvSpPr>
        <xdr:cNvPr id="30" name="TextBox 29">
          <a:extLst>
            <a:ext uri="{FF2B5EF4-FFF2-40B4-BE49-F238E27FC236}">
              <a16:creationId xmlns:a16="http://schemas.microsoft.com/office/drawing/2014/main" id="{21861FCA-A79D-69E5-836A-9D9D8B9E90D0}"/>
            </a:ext>
          </a:extLst>
        </xdr:cNvPr>
        <xdr:cNvSpPr txBox="1"/>
      </xdr:nvSpPr>
      <xdr:spPr>
        <a:xfrm>
          <a:off x="10893287" y="1391477"/>
          <a:ext cx="1526649" cy="437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Top Performer</a:t>
          </a:r>
        </a:p>
      </xdr:txBody>
    </xdr:sp>
    <xdr:clientData/>
  </xdr:twoCellAnchor>
  <xdr:twoCellAnchor>
    <xdr:from>
      <xdr:col>4</xdr:col>
      <xdr:colOff>151075</xdr:colOff>
      <xdr:row>4</xdr:row>
      <xdr:rowOff>47708</xdr:rowOff>
    </xdr:from>
    <xdr:to>
      <xdr:col>19</xdr:col>
      <xdr:colOff>159026</xdr:colOff>
      <xdr:row>6</xdr:row>
      <xdr:rowOff>23855</xdr:rowOff>
    </xdr:to>
    <xdr:sp macro="" textlink="">
      <xdr:nvSpPr>
        <xdr:cNvPr id="31" name="TextBox 30">
          <a:extLst>
            <a:ext uri="{FF2B5EF4-FFF2-40B4-BE49-F238E27FC236}">
              <a16:creationId xmlns:a16="http://schemas.microsoft.com/office/drawing/2014/main" id="{5DFEF244-B6E9-D5E5-7645-619C035B0622}"/>
            </a:ext>
          </a:extLst>
        </xdr:cNvPr>
        <xdr:cNvSpPr txBox="1"/>
      </xdr:nvSpPr>
      <xdr:spPr>
        <a:xfrm>
          <a:off x="2695492" y="811033"/>
          <a:ext cx="9549517" cy="35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IT Help Desk Ticket Analysis Dashboard</a:t>
          </a:r>
        </a:p>
      </xdr:txBody>
    </xdr:sp>
    <xdr:clientData/>
  </xdr:twoCellAnchor>
  <xdr:twoCellAnchor>
    <xdr:from>
      <xdr:col>17</xdr:col>
      <xdr:colOff>254442</xdr:colOff>
      <xdr:row>10</xdr:row>
      <xdr:rowOff>7950</xdr:rowOff>
    </xdr:from>
    <xdr:to>
      <xdr:col>19</xdr:col>
      <xdr:colOff>190831</xdr:colOff>
      <xdr:row>11</xdr:row>
      <xdr:rowOff>47708</xdr:rowOff>
    </xdr:to>
    <xdr:sp macro="" textlink="'Summary Dashboard'!F17:F27">
      <xdr:nvSpPr>
        <xdr:cNvPr id="32" name="Rectangle: Rounded Corners 31">
          <a:extLst>
            <a:ext uri="{FF2B5EF4-FFF2-40B4-BE49-F238E27FC236}">
              <a16:creationId xmlns:a16="http://schemas.microsoft.com/office/drawing/2014/main" id="{FFE71223-5BB9-E9FA-4CCE-A4B3C1B066FE}"/>
            </a:ext>
          </a:extLst>
        </xdr:cNvPr>
        <xdr:cNvSpPr/>
      </xdr:nvSpPr>
      <xdr:spPr>
        <a:xfrm>
          <a:off x="11068216" y="1916263"/>
          <a:ext cx="1208598" cy="230589"/>
        </a:xfrm>
        <a:prstGeom prst="roundRect">
          <a:avLst>
            <a:gd name="adj" fmla="val 6463"/>
          </a:avLst>
        </a:prstGeom>
        <a:solidFill>
          <a:schemeClr val="tx1">
            <a:lumMod val="75000"/>
            <a:lumOff val="25000"/>
            <a:alpha val="50000"/>
          </a:schemeClr>
        </a:solidFill>
        <a:ln w="15875">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EA8C801A-3F69-44A3-8C33-E7BC45CD675F}" type="TxLink">
            <a:rPr lang="en-US" sz="1400" b="1" i="0" u="none" strike="noStrike">
              <a:solidFill>
                <a:schemeClr val="bg1"/>
              </a:solidFill>
              <a:latin typeface="Calibri"/>
              <a:ea typeface="Calibri"/>
              <a:cs typeface="Calibri"/>
            </a:rPr>
            <a:t>27.26</a:t>
          </a:fld>
          <a:endParaRPr lang="en-IN"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111318</xdr:rowOff>
    </xdr:from>
    <xdr:to>
      <xdr:col>7</xdr:col>
      <xdr:colOff>119271</xdr:colOff>
      <xdr:row>29</xdr:row>
      <xdr:rowOff>182880</xdr:rowOff>
    </xdr:to>
    <xdr:graphicFrame macro="">
      <xdr:nvGraphicFramePr>
        <xdr:cNvPr id="2" name="Chart 1">
          <a:extLst>
            <a:ext uri="{FF2B5EF4-FFF2-40B4-BE49-F238E27FC236}">
              <a16:creationId xmlns:a16="http://schemas.microsoft.com/office/drawing/2014/main" id="{B0D9773E-3C1B-4D00-920B-59A655B8D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111317</xdr:rowOff>
    </xdr:from>
    <xdr:to>
      <xdr:col>7</xdr:col>
      <xdr:colOff>119271</xdr:colOff>
      <xdr:row>14</xdr:row>
      <xdr:rowOff>182879</xdr:rowOff>
    </xdr:to>
    <xdr:graphicFrame macro="">
      <xdr:nvGraphicFramePr>
        <xdr:cNvPr id="3" name="Chart 2">
          <a:extLst>
            <a:ext uri="{FF2B5EF4-FFF2-40B4-BE49-F238E27FC236}">
              <a16:creationId xmlns:a16="http://schemas.microsoft.com/office/drawing/2014/main" id="{502DB093-7062-411F-8B15-4884FCB86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182879</xdr:colOff>
      <xdr:row>0</xdr:row>
      <xdr:rowOff>103368</xdr:rowOff>
    </xdr:from>
    <xdr:to>
      <xdr:col>14</xdr:col>
      <xdr:colOff>302149</xdr:colOff>
      <xdr:row>14</xdr:row>
      <xdr:rowOff>174930</xdr:rowOff>
    </xdr:to>
    <xdr:graphicFrame macro="">
      <xdr:nvGraphicFramePr>
        <xdr:cNvPr id="4" name="Chart 3">
          <a:extLst>
            <a:ext uri="{FF2B5EF4-FFF2-40B4-BE49-F238E27FC236}">
              <a16:creationId xmlns:a16="http://schemas.microsoft.com/office/drawing/2014/main" id="{33EDDDA5-08F4-47EB-8E65-B52D99B0A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174928</xdr:colOff>
      <xdr:row>15</xdr:row>
      <xdr:rowOff>63609</xdr:rowOff>
    </xdr:from>
    <xdr:to>
      <xdr:col>14</xdr:col>
      <xdr:colOff>294197</xdr:colOff>
      <xdr:row>29</xdr:row>
      <xdr:rowOff>135171</xdr:rowOff>
    </xdr:to>
    <xdr:graphicFrame macro="">
      <xdr:nvGraphicFramePr>
        <xdr:cNvPr id="5" name="Chart 4">
          <a:extLst>
            <a:ext uri="{FF2B5EF4-FFF2-40B4-BE49-F238E27FC236}">
              <a16:creationId xmlns:a16="http://schemas.microsoft.com/office/drawing/2014/main" id="{F30316C0-D8B1-4104-8F03-1B14BD5B4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7</xdr:row>
      <xdr:rowOff>0</xdr:rowOff>
    </xdr:from>
    <xdr:to>
      <xdr:col>18</xdr:col>
      <xdr:colOff>556592</xdr:colOff>
      <xdr:row>20</xdr:row>
      <xdr:rowOff>70642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7F19AFD-AA74-40F4-B337-74CBA3D084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77670" y="1335819"/>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477079</xdr:colOff>
      <xdr:row>9</xdr:row>
      <xdr:rowOff>95415</xdr:rowOff>
    </xdr:from>
    <xdr:to>
      <xdr:col>19</xdr:col>
      <xdr:colOff>397566</xdr:colOff>
      <xdr:row>22</xdr:row>
      <xdr:rowOff>166057</xdr:rowOff>
    </xdr:to>
    <mc:AlternateContent xmlns:mc="http://schemas.openxmlformats.org/markup-compatibility/2006">
      <mc:Choice xmlns:a14="http://schemas.microsoft.com/office/drawing/2010/main" Requires="a14">
        <xdr:graphicFrame macro="">
          <xdr:nvGraphicFramePr>
            <xdr:cNvPr id="7" name="assigned_analyst">
              <a:extLst>
                <a:ext uri="{FF2B5EF4-FFF2-40B4-BE49-F238E27FC236}">
                  <a16:creationId xmlns:a16="http://schemas.microsoft.com/office/drawing/2014/main" id="{F7814D60-2EFE-4E9A-A2E9-0CCF41D2B3A5}"/>
                </a:ext>
              </a:extLst>
            </xdr:cNvPr>
            <xdr:cNvGraphicFramePr/>
          </xdr:nvGraphicFramePr>
          <xdr:xfrm>
            <a:off x="0" y="0"/>
            <a:ext cx="0" cy="0"/>
          </xdr:xfrm>
          <a:graphic>
            <a:graphicData uri="http://schemas.microsoft.com/office/drawing/2010/slicer">
              <sle:slicer xmlns:sle="http://schemas.microsoft.com/office/drawing/2010/slicer" name="assigned_analyst"/>
            </a:graphicData>
          </a:graphic>
        </xdr:graphicFrame>
      </mc:Choice>
      <mc:Fallback>
        <xdr:sp macro="" textlink="">
          <xdr:nvSpPr>
            <xdr:cNvPr id="0" name=""/>
            <xdr:cNvSpPr>
              <a:spLocks noTextEdit="1"/>
            </xdr:cNvSpPr>
          </xdr:nvSpPr>
          <xdr:spPr>
            <a:xfrm>
              <a:off x="10654749" y="1812897"/>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318053</xdr:colOff>
      <xdr:row>11</xdr:row>
      <xdr:rowOff>190831</xdr:rowOff>
    </xdr:from>
    <xdr:to>
      <xdr:col>20</xdr:col>
      <xdr:colOff>238540</xdr:colOff>
      <xdr:row>25</xdr:row>
      <xdr:rowOff>70641</xdr:rowOff>
    </xdr:to>
    <mc:AlternateContent xmlns:mc="http://schemas.openxmlformats.org/markup-compatibility/2006">
      <mc:Choice xmlns:a14="http://schemas.microsoft.com/office/drawing/2010/main" Requires="a14">
        <xdr:graphicFrame macro="">
          <xdr:nvGraphicFramePr>
            <xdr:cNvPr id="8" name="priority">
              <a:extLst>
                <a:ext uri="{FF2B5EF4-FFF2-40B4-BE49-F238E27FC236}">
                  <a16:creationId xmlns:a16="http://schemas.microsoft.com/office/drawing/2014/main" id="{1DA66BC0-85B3-4B29-9A63-8816AB73FC9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1131827" y="2289975"/>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101.84906724537" createdVersion="8" refreshedVersion="8" minRefreshableVersion="3" recordCount="150" xr:uid="{7ECD0F90-4101-4A29-8261-F9A09432A195}">
  <cacheSource type="worksheet">
    <worksheetSource name="Table1"/>
  </cacheSource>
  <cacheFields count="12">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22">
      <sharedItems containsSemiMixedTypes="0" containsNonDate="0" containsDate="1" containsString="0" minDate="2025-06-18T07:42:24" maxDate="2025-09-15T13:02:57" count="150">
        <d v="2025-06-27T22:36:16"/>
        <d v="2025-09-01T19:27:59"/>
        <d v="2025-09-04T09:32:03"/>
        <d v="2025-07-28T17:47:34"/>
        <d v="2025-09-03T21:46:09"/>
        <d v="2025-08-04T20:32:40"/>
        <d v="2025-08-22T10:38:16"/>
        <d v="2025-07-05T07:43:28"/>
        <d v="2025-07-07T16:41:14"/>
        <d v="2025-09-10T14:49:33"/>
        <d v="2025-08-27T13:20:02"/>
        <d v="2025-06-24T01:56:19"/>
        <d v="2025-06-28T09:51:47"/>
        <d v="2025-07-22T09:08:54"/>
        <d v="2025-07-09T22:32:58"/>
        <d v="2025-07-23T22:34:11"/>
        <d v="2025-08-06T11:52:05"/>
        <d v="2025-06-30T16:42:14"/>
        <d v="2025-06-30T23:03:04"/>
        <d v="2025-07-03T07:27:15"/>
        <d v="2025-06-23T22:49:38"/>
        <d v="2025-07-08T11:34:57"/>
        <d v="2025-06-22T23:29:46"/>
        <d v="2025-08-29T12:27:53"/>
        <d v="2025-07-12T03:37:37"/>
        <d v="2025-07-13T05:42:50"/>
        <d v="2025-06-24T00:26:51"/>
        <d v="2025-07-03T19:29:05"/>
        <d v="2025-09-15T13:02:57"/>
        <d v="2025-08-27T21:57:13"/>
        <d v="2025-08-30T20:17:04"/>
        <d v="2025-08-24T23:58:58"/>
        <d v="2025-07-11T18:10:39"/>
        <d v="2025-09-04T19:33:03"/>
        <d v="2025-08-24T17:06:08"/>
        <d v="2025-06-30T17:48:03"/>
        <d v="2025-09-09T08:46:26"/>
        <d v="2025-08-11T10:56:36"/>
        <d v="2025-09-01T16:20:12"/>
        <d v="2025-08-14T20:30:07"/>
        <d v="2025-09-05T05:49:39"/>
        <d v="2025-09-13T18:26:30"/>
        <d v="2025-07-28T00:42:24"/>
        <d v="2025-07-30T21:37:33"/>
        <d v="2025-08-03T03:02:33"/>
        <d v="2025-07-05T09:41:54"/>
        <d v="2025-08-30T13:43:06"/>
        <d v="2025-06-22T15:23:41"/>
        <d v="2025-07-03T03:12:43"/>
        <d v="2025-08-09T17:51:19"/>
        <d v="2025-07-23T08:22:42"/>
        <d v="2025-07-31T19:51:43"/>
        <d v="2025-06-29T02:21:50"/>
        <d v="2025-08-15T20:41:48"/>
        <d v="2025-07-15T09:00:06"/>
        <d v="2025-06-21T01:06:48"/>
        <d v="2025-08-02T07:52:13"/>
        <d v="2025-07-22T08:29:35"/>
        <d v="2025-08-06T13:42:51"/>
        <d v="2025-06-19T06:37:43"/>
        <d v="2025-08-27T11:05:38"/>
        <d v="2025-09-10T20:19:38"/>
        <d v="2025-07-01T16:39:40"/>
        <d v="2025-08-02T07:57:09"/>
        <d v="2025-09-10T05:58:12"/>
        <d v="2025-08-17T19:11:16"/>
        <d v="2025-07-18T06:21:58"/>
        <d v="2025-07-06T02:18:19"/>
        <d v="2025-08-25T22:46:50"/>
        <d v="2025-09-07T00:30:29"/>
        <d v="2025-07-21T21:58:21"/>
        <d v="2025-07-24T12:55:27"/>
        <d v="2025-06-18T07:42:24"/>
        <d v="2025-09-03T02:34:13"/>
        <d v="2025-08-08T23:17:56"/>
        <d v="2025-08-28T01:48:14"/>
        <d v="2025-07-20T10:31:23"/>
        <d v="2025-07-17T15:42:38"/>
        <d v="2025-07-23T19:59:04"/>
        <d v="2025-06-27T20:58:34"/>
        <d v="2025-06-19T16:43:35"/>
        <d v="2025-06-27T00:50:45"/>
        <d v="2025-08-10T11:17:27"/>
        <d v="2025-07-29T01:49:12"/>
        <d v="2025-07-06T10:09:04"/>
        <d v="2025-07-30T04:23:34"/>
        <d v="2025-08-23T05:18:39"/>
        <d v="2025-07-10T03:11:23"/>
        <d v="2025-09-12T18:58:40"/>
        <d v="2025-09-02T15:20:46"/>
        <d v="2025-07-12T12:04:37"/>
        <d v="2025-08-06T04:36:43"/>
        <d v="2025-06-24T12:26:10"/>
        <d v="2025-06-25T21:27:43"/>
        <d v="2025-07-25T15:06:41"/>
        <d v="2025-07-25T17:47:29"/>
        <d v="2025-08-12T17:49:45"/>
        <d v="2025-07-25T21:16:19"/>
        <d v="2025-09-14T19:22:48"/>
        <d v="2025-07-31T00:15:23"/>
        <d v="2025-08-17T13:13:44"/>
        <d v="2025-09-11T12:55:11"/>
        <d v="2025-07-01T08:49:20"/>
        <d v="2025-06-25T22:36:03"/>
        <d v="2025-09-06T06:19:01"/>
        <d v="2025-08-03T06:45:06"/>
        <d v="2025-08-17T12:18:02"/>
        <d v="2025-07-28T14:54:12"/>
        <d v="2025-07-12T06:57:35"/>
        <d v="2025-07-13T00:24:13"/>
        <d v="2025-07-14T05:56:24"/>
        <d v="2025-08-28T11:29:55"/>
        <d v="2025-08-28T08:02:11"/>
        <d v="2025-08-20T11:19:48"/>
        <d v="2025-06-26T06:39:15"/>
        <d v="2025-09-04T00:02:17"/>
        <d v="2025-07-14T03:29:18"/>
        <d v="2025-07-24T06:40:03"/>
        <d v="2025-08-03T22:42:23"/>
        <d v="2025-07-12T00:15:34"/>
        <d v="2025-07-19T13:02:22"/>
        <d v="2025-06-29T20:08:30"/>
        <d v="2025-07-29T14:50:17"/>
        <d v="2025-08-19T01:11:31"/>
        <d v="2025-06-25T06:03:59"/>
        <d v="2025-08-02T18:27:58"/>
        <d v="2025-08-26T00:22:43"/>
        <d v="2025-07-17T15:23:19"/>
        <d v="2025-09-09T17:02:08"/>
        <d v="2025-09-06T17:30:19"/>
        <d v="2025-09-10T20:54:16"/>
        <d v="2025-08-10T12:29:53"/>
        <d v="2025-09-07T02:38:17"/>
        <d v="2025-07-21T07:07:14"/>
        <d v="2025-08-15T01:02:50"/>
        <d v="2025-06-24T05:57:14"/>
        <d v="2025-09-14T17:50:13"/>
        <d v="2025-06-29T09:14:35"/>
        <d v="2025-08-19T13:22:46"/>
        <d v="2025-08-21T14:38:53"/>
        <d v="2025-08-05T10:58:02"/>
        <d v="2025-08-18T10:22:03"/>
        <d v="2025-09-13T16:20:39"/>
        <d v="2025-08-03T06:49:31"/>
        <d v="2025-06-27T03:04:20"/>
        <d v="2025-08-31T15:49:39"/>
        <d v="2025-06-24T11:03:22"/>
        <d v="2025-09-02T16:56:42"/>
        <d v="2025-07-16T14:22:14"/>
        <d v="2025-07-31T04:12:39"/>
      </sharedItems>
      <fieldGroup par="11"/>
    </cacheField>
    <cacheField name="resolution_date" numFmtId="22">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priority" numFmtId="0">
      <sharedItems count="4">
        <s v="High"/>
        <s v="Medium"/>
        <s v="Low"/>
        <s v="Critical"/>
      </sharedItems>
    </cacheField>
    <cacheField name="Resolution Time (in hours)" numFmtId="2">
      <sharedItems containsSemiMixedTypes="0" containsString="0" containsNumber="1" minValue="1.5365711110644042" maxValue="167.59663333342178"/>
    </cacheField>
    <cacheField name="Day of Week" numFmtId="0">
      <sharedItems/>
    </cacheField>
    <cacheField name="Month" numFmtId="0">
      <sharedItems/>
    </cacheField>
    <cacheField name="Hour" numFmtId="0">
      <sharedItems containsSemiMixedTypes="0" containsString="0" containsNumber="1" containsInteger="1" minValue="0" maxValue="23"/>
    </cacheField>
    <cacheField name="Days (submission_date)" numFmtId="0" databaseField="0">
      <fieldGroup base="1">
        <rangePr groupBy="days" startDate="2025-06-18T07:42:24" endDate="2025-09-15T13:02:57"/>
        <groupItems count="368">
          <s v="&lt;18-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9-2025"/>
        </groupItems>
      </fieldGroup>
    </cacheField>
    <cacheField name="Months (submission_date)" numFmtId="0" databaseField="0">
      <fieldGroup base="1">
        <rangePr groupBy="months" startDate="2025-06-18T07:42:24" endDate="2025-09-15T13:02:57"/>
        <groupItems count="14">
          <s v="&lt;18-06-2025"/>
          <s v="Jan"/>
          <s v="Feb"/>
          <s v="Mar"/>
          <s v="Apr"/>
          <s v="May"/>
          <s v="Jun"/>
          <s v="Jul"/>
          <s v="Aug"/>
          <s v="Sep"/>
          <s v="Oct"/>
          <s v="Nov"/>
          <s v="Dec"/>
          <s v="&gt;15-09-2025"/>
        </groupItems>
      </fieldGroup>
    </cacheField>
  </cacheFields>
  <extLst>
    <ext xmlns:x14="http://schemas.microsoft.com/office/spreadsheetml/2009/9/main" uri="{725AE2AE-9491-48be-B2B4-4EB974FC3084}">
      <x14:pivotCacheDefinition pivotCacheId="964163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d v="2025-06-28T03:46:41"/>
    <x v="0"/>
    <x v="0"/>
    <x v="0"/>
    <n v="5.1735194444772787"/>
    <s v="Friday"/>
    <s v="June"/>
    <n v="3"/>
  </r>
  <r>
    <x v="1"/>
    <x v="1"/>
    <d v="2025-09-03T07:18:06"/>
    <x v="1"/>
    <x v="1"/>
    <x v="1"/>
    <n v="35.835202499991283"/>
    <s v="Monday"/>
    <s v="September"/>
    <n v="7"/>
  </r>
  <r>
    <x v="2"/>
    <x v="2"/>
    <d v="2025-09-05T23:50:37"/>
    <x v="0"/>
    <x v="2"/>
    <x v="1"/>
    <n v="38.309437499963678"/>
    <s v="Thursday"/>
    <s v="September"/>
    <n v="23"/>
  </r>
  <r>
    <x v="3"/>
    <x v="3"/>
    <d v="2025-07-29T01:38:19"/>
    <x v="2"/>
    <x v="3"/>
    <x v="0"/>
    <n v="7.8459177776821889"/>
    <s v="Monday"/>
    <s v="July"/>
    <n v="1"/>
  </r>
  <r>
    <x v="4"/>
    <x v="4"/>
    <d v="2025-09-04T06:53:07"/>
    <x v="1"/>
    <x v="4"/>
    <x v="0"/>
    <n v="9.1162583333789371"/>
    <s v="Wednesday"/>
    <s v="September"/>
    <n v="6"/>
  </r>
  <r>
    <x v="5"/>
    <x v="5"/>
    <d v="2025-08-10T09:52:42"/>
    <x v="1"/>
    <x v="2"/>
    <x v="2"/>
    <n v="133.33368749998044"/>
    <s v="Monday"/>
    <s v="August"/>
    <n v="9"/>
  </r>
  <r>
    <x v="6"/>
    <x v="6"/>
    <d v="2025-08-23T14:11:49"/>
    <x v="3"/>
    <x v="5"/>
    <x v="2"/>
    <n v="27.559388888825197"/>
    <s v="Friday"/>
    <s v="August"/>
    <n v="14"/>
  </r>
  <r>
    <x v="7"/>
    <x v="7"/>
    <d v="2025-07-09T20:26:19"/>
    <x v="1"/>
    <x v="6"/>
    <x v="2"/>
    <n v="108.71431305556325"/>
    <s v="Saturday"/>
    <s v="July"/>
    <n v="20"/>
  </r>
  <r>
    <x v="8"/>
    <x v="8"/>
    <d v="2025-07-08T10:04:28"/>
    <x v="2"/>
    <x v="6"/>
    <x v="1"/>
    <n v="17.387358055450022"/>
    <s v="Monday"/>
    <s v="July"/>
    <n v="10"/>
  </r>
  <r>
    <x v="9"/>
    <x v="9"/>
    <d v="2025-09-11T19:58:37"/>
    <x v="1"/>
    <x v="2"/>
    <x v="1"/>
    <n v="29.151188888819888"/>
    <s v="Wednesday"/>
    <s v="September"/>
    <n v="19"/>
  </r>
  <r>
    <x v="10"/>
    <x v="10"/>
    <d v="2025-09-02T16:28:31"/>
    <x v="1"/>
    <x v="7"/>
    <x v="2"/>
    <n v="147.14153527765302"/>
    <s v="Wednesday"/>
    <s v="August"/>
    <n v="16"/>
  </r>
  <r>
    <x v="11"/>
    <x v="11"/>
    <d v="2025-06-24T05:46:33"/>
    <x v="4"/>
    <x v="8"/>
    <x v="0"/>
    <n v="3.8372252777335234"/>
    <s v="Tuesday"/>
    <s v="June"/>
    <n v="5"/>
  </r>
  <r>
    <x v="12"/>
    <x v="12"/>
    <d v="2025-06-29T02:58:41"/>
    <x v="4"/>
    <x v="0"/>
    <x v="1"/>
    <n v="17.115037777635735"/>
    <s v="Saturday"/>
    <s v="June"/>
    <n v="2"/>
  </r>
  <r>
    <x v="13"/>
    <x v="13"/>
    <d v="2025-07-26T15:54:44"/>
    <x v="1"/>
    <x v="6"/>
    <x v="2"/>
    <n v="102.76395249995403"/>
    <s v="Tuesday"/>
    <s v="July"/>
    <n v="15"/>
  </r>
  <r>
    <x v="14"/>
    <x v="14"/>
    <d v="2025-07-10T01:11:32"/>
    <x v="1"/>
    <x v="1"/>
    <x v="0"/>
    <n v="2.6426983333658427"/>
    <s v="Wednesday"/>
    <s v="July"/>
    <n v="1"/>
  </r>
  <r>
    <x v="15"/>
    <x v="15"/>
    <d v="2025-07-24T01:20:01"/>
    <x v="1"/>
    <x v="9"/>
    <x v="0"/>
    <n v="2.7640863888664171"/>
    <s v="Wednesday"/>
    <s v="July"/>
    <n v="1"/>
  </r>
  <r>
    <x v="16"/>
    <x v="16"/>
    <d v="2025-08-11T08:18:53"/>
    <x v="1"/>
    <x v="6"/>
    <x v="2"/>
    <n v="116.44657277787337"/>
    <s v="Wednesday"/>
    <s v="August"/>
    <n v="8"/>
  </r>
  <r>
    <x v="17"/>
    <x v="17"/>
    <d v="2025-07-02T20:37:19"/>
    <x v="5"/>
    <x v="0"/>
    <x v="2"/>
    <n v="51.918000000121538"/>
    <s v="Monday"/>
    <s v="June"/>
    <n v="20"/>
  </r>
  <r>
    <x v="18"/>
    <x v="18"/>
    <d v="2025-07-04T11:48:25"/>
    <x v="4"/>
    <x v="3"/>
    <x v="2"/>
    <n v="84.755737222207244"/>
    <s v="Monday"/>
    <s v="June"/>
    <n v="11"/>
  </r>
  <r>
    <x v="19"/>
    <x v="19"/>
    <d v="2025-07-04T23:58:39"/>
    <x v="2"/>
    <x v="3"/>
    <x v="1"/>
    <n v="40.523201666772366"/>
    <s v="Thursday"/>
    <s v="July"/>
    <n v="23"/>
  </r>
  <r>
    <x v="20"/>
    <x v="20"/>
    <d v="2025-06-25T11:06:40"/>
    <x v="1"/>
    <x v="1"/>
    <x v="1"/>
    <n v="36.284043611143716"/>
    <s v="Monday"/>
    <s v="June"/>
    <n v="11"/>
  </r>
  <r>
    <x v="21"/>
    <x v="21"/>
    <d v="2025-07-10T09:25:12"/>
    <x v="1"/>
    <x v="0"/>
    <x v="1"/>
    <n v="45.837675833317917"/>
    <s v="Tuesday"/>
    <s v="July"/>
    <n v="9"/>
  </r>
  <r>
    <x v="22"/>
    <x v="22"/>
    <d v="2025-06-23T16:34:14"/>
    <x v="1"/>
    <x v="7"/>
    <x v="1"/>
    <n v="17.074626388843171"/>
    <s v="Sunday"/>
    <s v="June"/>
    <n v="16"/>
  </r>
  <r>
    <x v="23"/>
    <x v="23"/>
    <d v="2025-08-31T04:23:45"/>
    <x v="1"/>
    <x v="4"/>
    <x v="1"/>
    <n v="39.931116944295354"/>
    <s v="Friday"/>
    <s v="August"/>
    <n v="4"/>
  </r>
  <r>
    <x v="24"/>
    <x v="24"/>
    <d v="2025-07-16T09:42:35"/>
    <x v="4"/>
    <x v="3"/>
    <x v="2"/>
    <n v="102.08274805551628"/>
    <s v="Saturday"/>
    <s v="July"/>
    <n v="9"/>
  </r>
  <r>
    <x v="25"/>
    <x v="25"/>
    <d v="2025-07-14T19:35:59"/>
    <x v="1"/>
    <x v="1"/>
    <x v="1"/>
    <n v="37.88586027774727"/>
    <s v="Sunday"/>
    <s v="July"/>
    <n v="19"/>
  </r>
  <r>
    <x v="26"/>
    <x v="26"/>
    <d v="2025-06-24T12:14:52"/>
    <x v="4"/>
    <x v="4"/>
    <x v="0"/>
    <n v="11.800193611183204"/>
    <s v="Tuesday"/>
    <s v="June"/>
    <n v="12"/>
  </r>
  <r>
    <x v="27"/>
    <x v="27"/>
    <d v="2025-07-05T17:15:14"/>
    <x v="6"/>
    <x v="1"/>
    <x v="1"/>
    <n v="45.769049444468692"/>
    <s v="Thursday"/>
    <s v="July"/>
    <n v="17"/>
  </r>
  <r>
    <x v="28"/>
    <x v="28"/>
    <d v="2025-09-17T07:57:18"/>
    <x v="0"/>
    <x v="0"/>
    <x v="2"/>
    <n v="42.905721111106686"/>
    <s v="Monday"/>
    <s v="September"/>
    <n v="7"/>
  </r>
  <r>
    <x v="29"/>
    <x v="29"/>
    <d v="2025-08-29T06:38:57"/>
    <x v="1"/>
    <x v="2"/>
    <x v="1"/>
    <n v="32.695510555466171"/>
    <s v="Wednesday"/>
    <s v="August"/>
    <n v="6"/>
  </r>
  <r>
    <x v="30"/>
    <x v="30"/>
    <d v="2025-09-06T02:38:11"/>
    <x v="4"/>
    <x v="2"/>
    <x v="2"/>
    <n v="150.35184000001755"/>
    <s v="Saturday"/>
    <s v="August"/>
    <n v="2"/>
  </r>
  <r>
    <x v="31"/>
    <x v="31"/>
    <d v="2025-08-25T07:35:19"/>
    <x v="1"/>
    <x v="1"/>
    <x v="0"/>
    <n v="7.6059738888870925"/>
    <s v="Sunday"/>
    <s v="August"/>
    <n v="7"/>
  </r>
  <r>
    <x v="32"/>
    <x v="32"/>
    <d v="2025-07-17T06:40:38"/>
    <x v="4"/>
    <x v="6"/>
    <x v="2"/>
    <n v="132.49974805559032"/>
    <s v="Friday"/>
    <s v="July"/>
    <n v="6"/>
  </r>
  <r>
    <x v="33"/>
    <x v="33"/>
    <d v="2025-09-10T05:28:47"/>
    <x v="6"/>
    <x v="5"/>
    <x v="2"/>
    <n v="129.92903861106606"/>
    <s v="Thursday"/>
    <s v="September"/>
    <n v="5"/>
  </r>
  <r>
    <x v="34"/>
    <x v="34"/>
    <d v="2025-08-30T19:43:21"/>
    <x v="1"/>
    <x v="4"/>
    <x v="2"/>
    <n v="146.62014916667249"/>
    <s v="Sunday"/>
    <s v="August"/>
    <n v="19"/>
  </r>
  <r>
    <x v="35"/>
    <x v="35"/>
    <d v="2025-07-01T19:36:47"/>
    <x v="2"/>
    <x v="1"/>
    <x v="2"/>
    <n v="25.812275277741719"/>
    <s v="Monday"/>
    <s v="June"/>
    <n v="19"/>
  </r>
  <r>
    <x v="36"/>
    <x v="36"/>
    <d v="2025-09-13T06:18:49"/>
    <x v="1"/>
    <x v="8"/>
    <x v="2"/>
    <n v="93.53977527783718"/>
    <s v="Tuesday"/>
    <s v="September"/>
    <n v="6"/>
  </r>
  <r>
    <x v="37"/>
    <x v="37"/>
    <d v="2025-08-17T16:07:19"/>
    <x v="0"/>
    <x v="7"/>
    <x v="2"/>
    <n v="149.17866749991663"/>
    <s v="Monday"/>
    <s v="August"/>
    <n v="16"/>
  </r>
  <r>
    <x v="38"/>
    <x v="38"/>
    <d v="2025-09-02T02:43:04"/>
    <x v="1"/>
    <x v="5"/>
    <x v="1"/>
    <n v="10.381147500069346"/>
    <s v="Monday"/>
    <s v="September"/>
    <n v="2"/>
  </r>
  <r>
    <x v="39"/>
    <x v="39"/>
    <d v="2025-08-15T08:44:19"/>
    <x v="3"/>
    <x v="6"/>
    <x v="1"/>
    <n v="12.236511666735169"/>
    <s v="Thursday"/>
    <s v="August"/>
    <n v="8"/>
  </r>
  <r>
    <x v="40"/>
    <x v="40"/>
    <d v="2025-09-06T22:59:27"/>
    <x v="4"/>
    <x v="0"/>
    <x v="1"/>
    <n v="41.163475555542391"/>
    <s v="Friday"/>
    <s v="September"/>
    <n v="22"/>
  </r>
  <r>
    <x v="41"/>
    <x v="41"/>
    <d v="2025-09-14T19:22:39"/>
    <x v="2"/>
    <x v="1"/>
    <x v="2"/>
    <n v="24.935883888916578"/>
    <s v="Saturday"/>
    <s v="September"/>
    <n v="19"/>
  </r>
  <r>
    <x v="42"/>
    <x v="42"/>
    <d v="2025-08-03T11:00:27"/>
    <x v="6"/>
    <x v="9"/>
    <x v="2"/>
    <n v="154.30078805558151"/>
    <s v="Monday"/>
    <s v="July"/>
    <n v="11"/>
  </r>
  <r>
    <x v="43"/>
    <x v="43"/>
    <d v="2025-07-30T23:09:44"/>
    <x v="1"/>
    <x v="6"/>
    <x v="3"/>
    <n v="1.5365711110644042"/>
    <s v="Wednesday"/>
    <s v="July"/>
    <n v="23"/>
  </r>
  <r>
    <x v="44"/>
    <x v="44"/>
    <d v="2025-08-03T07:10:24"/>
    <x v="2"/>
    <x v="5"/>
    <x v="0"/>
    <n v="4.1308872221270576"/>
    <s v="Sunday"/>
    <s v="August"/>
    <n v="7"/>
  </r>
  <r>
    <x v="45"/>
    <x v="45"/>
    <d v="2025-07-05T21:04:57"/>
    <x v="1"/>
    <x v="1"/>
    <x v="0"/>
    <n v="11.384240555518772"/>
    <s v="Saturday"/>
    <s v="July"/>
    <n v="21"/>
  </r>
  <r>
    <x v="46"/>
    <x v="46"/>
    <d v="2025-09-01T11:41:59"/>
    <x v="4"/>
    <x v="4"/>
    <x v="1"/>
    <n v="45.981414999871049"/>
    <s v="Saturday"/>
    <s v="August"/>
    <n v="11"/>
  </r>
  <r>
    <x v="47"/>
    <x v="47"/>
    <d v="2025-06-27T12:57:19"/>
    <x v="3"/>
    <x v="1"/>
    <x v="2"/>
    <n v="117.56077138893306"/>
    <s v="Sunday"/>
    <s v="June"/>
    <n v="12"/>
  </r>
  <r>
    <x v="48"/>
    <x v="48"/>
    <d v="2025-07-03T15:39:54"/>
    <x v="4"/>
    <x v="1"/>
    <x v="1"/>
    <n v="12.45312888873741"/>
    <s v="Thursday"/>
    <s v="July"/>
    <n v="15"/>
  </r>
  <r>
    <x v="49"/>
    <x v="49"/>
    <d v="2025-08-10T20:32:46"/>
    <x v="4"/>
    <x v="1"/>
    <x v="1"/>
    <n v="26.690726111002732"/>
    <s v="Saturday"/>
    <s v="August"/>
    <n v="20"/>
  </r>
  <r>
    <x v="50"/>
    <x v="50"/>
    <d v="2025-07-27T23:09:54"/>
    <x v="0"/>
    <x v="3"/>
    <x v="2"/>
    <n v="110.78663972223876"/>
    <s v="Wednesday"/>
    <s v="July"/>
    <n v="23"/>
  </r>
  <r>
    <x v="51"/>
    <x v="51"/>
    <d v="2025-08-07T01:25:06"/>
    <x v="1"/>
    <x v="1"/>
    <x v="2"/>
    <n v="149.55620611121412"/>
    <s v="Thursday"/>
    <s v="July"/>
    <n v="1"/>
  </r>
  <r>
    <x v="52"/>
    <x v="52"/>
    <d v="2025-06-29T17:27:46"/>
    <x v="1"/>
    <x v="3"/>
    <x v="1"/>
    <n v="15.098935833200812"/>
    <s v="Sunday"/>
    <s v="June"/>
    <n v="17"/>
  </r>
  <r>
    <x v="53"/>
    <x v="53"/>
    <d v="2025-08-16T09:53:39"/>
    <x v="1"/>
    <x v="1"/>
    <x v="1"/>
    <n v="13.197324444539845"/>
    <s v="Friday"/>
    <s v="August"/>
    <n v="9"/>
  </r>
  <r>
    <x v="54"/>
    <x v="54"/>
    <d v="2025-07-15T19:03:10"/>
    <x v="4"/>
    <x v="2"/>
    <x v="0"/>
    <n v="10.050953888974618"/>
    <s v="Tuesday"/>
    <s v="July"/>
    <n v="19"/>
  </r>
  <r>
    <x v="55"/>
    <x v="55"/>
    <d v="2025-06-22T17:47:48"/>
    <x v="3"/>
    <x v="1"/>
    <x v="1"/>
    <n v="40.683295277820434"/>
    <s v="Saturday"/>
    <s v="June"/>
    <n v="17"/>
  </r>
  <r>
    <x v="56"/>
    <x v="56"/>
    <d v="2025-08-03T14:28:34"/>
    <x v="0"/>
    <x v="3"/>
    <x v="1"/>
    <n v="30.605780555633828"/>
    <s v="Saturday"/>
    <s v="August"/>
    <n v="14"/>
  </r>
  <r>
    <x v="57"/>
    <x v="57"/>
    <d v="2025-07-29T06:48:58"/>
    <x v="5"/>
    <x v="6"/>
    <x v="2"/>
    <n v="166.32303749991115"/>
    <s v="Tuesday"/>
    <s v="July"/>
    <n v="6"/>
  </r>
  <r>
    <x v="58"/>
    <x v="58"/>
    <d v="2025-08-08T07:16:37"/>
    <x v="0"/>
    <x v="6"/>
    <x v="1"/>
    <n v="41.562863888859283"/>
    <s v="Wednesday"/>
    <s v="August"/>
    <n v="7"/>
  </r>
  <r>
    <x v="59"/>
    <x v="59"/>
    <d v="2025-06-20T14:17:59"/>
    <x v="1"/>
    <x v="5"/>
    <x v="1"/>
    <n v="31.670991666731425"/>
    <s v="Thursday"/>
    <s v="June"/>
    <n v="14"/>
  </r>
  <r>
    <x v="60"/>
    <x v="60"/>
    <d v="2025-08-28T11:49:50"/>
    <x v="2"/>
    <x v="3"/>
    <x v="1"/>
    <n v="24.736738611012697"/>
    <s v="Wednesday"/>
    <s v="August"/>
    <n v="11"/>
  </r>
  <r>
    <x v="61"/>
    <x v="61"/>
    <d v="2025-09-12T10:03:29"/>
    <x v="1"/>
    <x v="0"/>
    <x v="1"/>
    <n v="37.730805555533152"/>
    <s v="Wednesday"/>
    <s v="September"/>
    <n v="10"/>
  </r>
  <r>
    <x v="62"/>
    <x v="62"/>
    <d v="2025-07-02T16:21:43"/>
    <x v="1"/>
    <x v="7"/>
    <x v="1"/>
    <n v="23.700668333389331"/>
    <s v="Tuesday"/>
    <s v="July"/>
    <n v="16"/>
  </r>
  <r>
    <x v="63"/>
    <x v="63"/>
    <d v="2025-08-02T15:55:37"/>
    <x v="3"/>
    <x v="7"/>
    <x v="0"/>
    <n v="7.974366111215204"/>
    <s v="Saturday"/>
    <s v="August"/>
    <n v="15"/>
  </r>
  <r>
    <x v="64"/>
    <x v="64"/>
    <d v="2025-09-10T14:01:55"/>
    <x v="3"/>
    <x v="4"/>
    <x v="1"/>
    <n v="8.061980833299458"/>
    <s v="Wednesday"/>
    <s v="September"/>
    <n v="14"/>
  </r>
  <r>
    <x v="65"/>
    <x v="65"/>
    <d v="2025-08-18T09:55:36"/>
    <x v="4"/>
    <x v="0"/>
    <x v="1"/>
    <n v="14.739060000109021"/>
    <s v="Sunday"/>
    <s v="August"/>
    <n v="9"/>
  </r>
  <r>
    <x v="66"/>
    <x v="66"/>
    <d v="2025-07-23T20:05:28"/>
    <x v="2"/>
    <x v="2"/>
    <x v="2"/>
    <n v="133.7251938888221"/>
    <s v="Friday"/>
    <s v="July"/>
    <n v="20"/>
  </r>
  <r>
    <x v="67"/>
    <x v="67"/>
    <d v="2025-07-07T13:03:00"/>
    <x v="4"/>
    <x v="7"/>
    <x v="1"/>
    <n v="34.744843055668753"/>
    <s v="Sunday"/>
    <s v="July"/>
    <n v="13"/>
  </r>
  <r>
    <x v="68"/>
    <x v="68"/>
    <d v="2025-08-29T05:16:59"/>
    <x v="1"/>
    <x v="5"/>
    <x v="2"/>
    <n v="78.502738055598456"/>
    <s v="Monday"/>
    <s v="August"/>
    <n v="5"/>
  </r>
  <r>
    <x v="69"/>
    <x v="69"/>
    <d v="2025-09-08T00:37:01"/>
    <x v="1"/>
    <x v="4"/>
    <x v="1"/>
    <n v="24.108923611056525"/>
    <s v="Sunday"/>
    <s v="September"/>
    <n v="0"/>
  </r>
  <r>
    <x v="70"/>
    <x v="70"/>
    <d v="2025-07-22T01:11:24"/>
    <x v="2"/>
    <x v="7"/>
    <x v="3"/>
    <n v="3.2174963888246566"/>
    <s v="Monday"/>
    <s v="July"/>
    <n v="1"/>
  </r>
  <r>
    <x v="71"/>
    <x v="71"/>
    <d v="2025-07-25T08:58:26"/>
    <x v="1"/>
    <x v="2"/>
    <x v="1"/>
    <n v="20.04974666662747"/>
    <s v="Thursday"/>
    <s v="July"/>
    <n v="8"/>
  </r>
  <r>
    <x v="72"/>
    <x v="72"/>
    <d v="2025-06-19T21:32:31"/>
    <x v="4"/>
    <x v="7"/>
    <x v="1"/>
    <n v="37.83530583337415"/>
    <s v="Wednesday"/>
    <s v="June"/>
    <n v="21"/>
  </r>
  <r>
    <x v="73"/>
    <x v="73"/>
    <d v="2025-09-03T10:40:49"/>
    <x v="0"/>
    <x v="8"/>
    <x v="0"/>
    <n v="8.1097877778229304"/>
    <s v="Wednesday"/>
    <s v="September"/>
    <n v="10"/>
  </r>
  <r>
    <x v="74"/>
    <x v="74"/>
    <d v="2025-08-14T23:19:46"/>
    <x v="5"/>
    <x v="1"/>
    <x v="2"/>
    <n v="144.03052055567969"/>
    <s v="Friday"/>
    <s v="August"/>
    <n v="23"/>
  </r>
  <r>
    <x v="75"/>
    <x v="75"/>
    <d v="2025-08-28T09:40:58"/>
    <x v="0"/>
    <x v="7"/>
    <x v="0"/>
    <n v="7.8787933333078399"/>
    <s v="Thursday"/>
    <s v="August"/>
    <n v="9"/>
  </r>
  <r>
    <x v="76"/>
    <x v="76"/>
    <d v="2025-07-20T14:11:12"/>
    <x v="1"/>
    <x v="1"/>
    <x v="0"/>
    <n v="3.6636022221646272"/>
    <s v="Sunday"/>
    <s v="July"/>
    <n v="14"/>
  </r>
  <r>
    <x v="77"/>
    <x v="77"/>
    <d v="2025-07-17T22:40:18"/>
    <x v="5"/>
    <x v="5"/>
    <x v="0"/>
    <n v="6.9611850001383573"/>
    <s v="Thursday"/>
    <s v="July"/>
    <n v="22"/>
  </r>
  <r>
    <x v="78"/>
    <x v="78"/>
    <d v="2025-07-26T11:29:43"/>
    <x v="1"/>
    <x v="1"/>
    <x v="2"/>
    <n v="63.510849444370251"/>
    <s v="Wednesday"/>
    <s v="July"/>
    <n v="11"/>
  </r>
  <r>
    <x v="79"/>
    <x v="79"/>
    <d v="2025-07-01T20:08:25"/>
    <x v="4"/>
    <x v="1"/>
    <x v="2"/>
    <n v="95.1639505555504"/>
    <s v="Friday"/>
    <s v="June"/>
    <n v="20"/>
  </r>
  <r>
    <x v="80"/>
    <x v="80"/>
    <d v="2025-06-25T22:32:38"/>
    <x v="1"/>
    <x v="6"/>
    <x v="2"/>
    <n v="149.8176580555737"/>
    <s v="Thursday"/>
    <s v="June"/>
    <n v="22"/>
  </r>
  <r>
    <x v="81"/>
    <x v="81"/>
    <d v="2025-07-01T10:00:38"/>
    <x v="3"/>
    <x v="3"/>
    <x v="2"/>
    <n v="105.16462888894603"/>
    <s v="Friday"/>
    <s v="June"/>
    <n v="10"/>
  </r>
  <r>
    <x v="82"/>
    <x v="82"/>
    <d v="2025-08-12T08:21:18"/>
    <x v="1"/>
    <x v="1"/>
    <x v="1"/>
    <n v="45.064024999912363"/>
    <s v="Sunday"/>
    <s v="August"/>
    <n v="8"/>
  </r>
  <r>
    <x v="83"/>
    <x v="83"/>
    <d v="2025-07-31T13:26:15"/>
    <x v="6"/>
    <x v="4"/>
    <x v="2"/>
    <n v="59.617646388884168"/>
    <s v="Tuesday"/>
    <s v="July"/>
    <n v="13"/>
  </r>
  <r>
    <x v="84"/>
    <x v="84"/>
    <d v="2025-07-11T00:20:43"/>
    <x v="2"/>
    <x v="9"/>
    <x v="2"/>
    <n v="110.1942252778681"/>
    <s v="Sunday"/>
    <s v="July"/>
    <n v="0"/>
  </r>
  <r>
    <x v="85"/>
    <x v="85"/>
    <d v="2025-07-30T13:08:10"/>
    <x v="3"/>
    <x v="5"/>
    <x v="0"/>
    <n v="8.7434869443532079"/>
    <s v="Wednesday"/>
    <s v="July"/>
    <n v="13"/>
  </r>
  <r>
    <x v="86"/>
    <x v="86"/>
    <d v="2025-08-24T16:37:11"/>
    <x v="1"/>
    <x v="7"/>
    <x v="1"/>
    <n v="35.308717777894344"/>
    <s v="Saturday"/>
    <s v="August"/>
    <n v="16"/>
  </r>
  <r>
    <x v="87"/>
    <x v="87"/>
    <d v="2025-07-10T23:12:02"/>
    <x v="2"/>
    <x v="2"/>
    <x v="1"/>
    <n v="20.010911944555119"/>
    <s v="Thursday"/>
    <s v="July"/>
    <n v="23"/>
  </r>
  <r>
    <x v="88"/>
    <x v="88"/>
    <d v="2025-09-14T02:31:59"/>
    <x v="1"/>
    <x v="5"/>
    <x v="1"/>
    <n v="31.555126388906501"/>
    <s v="Friday"/>
    <s v="September"/>
    <n v="2"/>
  </r>
  <r>
    <x v="89"/>
    <x v="89"/>
    <d v="2025-09-08T16:21:32"/>
    <x v="1"/>
    <x v="5"/>
    <x v="2"/>
    <n v="145.01276666665217"/>
    <s v="Tuesday"/>
    <s v="September"/>
    <n v="16"/>
  </r>
  <r>
    <x v="90"/>
    <x v="90"/>
    <d v="2025-07-13T06:22:20"/>
    <x v="1"/>
    <x v="0"/>
    <x v="1"/>
    <n v="18.295303611026611"/>
    <s v="Saturday"/>
    <s v="July"/>
    <n v="6"/>
  </r>
  <r>
    <x v="91"/>
    <x v="91"/>
    <d v="2025-08-12T11:09:01"/>
    <x v="1"/>
    <x v="5"/>
    <x v="2"/>
    <n v="150.53814916661941"/>
    <s v="Wednesday"/>
    <s v="August"/>
    <n v="11"/>
  </r>
  <r>
    <x v="92"/>
    <x v="92"/>
    <d v="2025-06-26T10:49:37"/>
    <x v="4"/>
    <x v="3"/>
    <x v="1"/>
    <n v="46.390991388936527"/>
    <s v="Tuesday"/>
    <s v="June"/>
    <n v="10"/>
  </r>
  <r>
    <x v="93"/>
    <x v="93"/>
    <d v="2025-06-29T07:08:52"/>
    <x v="0"/>
    <x v="3"/>
    <x v="2"/>
    <n v="81.685709444456734"/>
    <s v="Wednesday"/>
    <s v="June"/>
    <n v="7"/>
  </r>
  <r>
    <x v="94"/>
    <x v="94"/>
    <d v="2025-07-30T00:43:14"/>
    <x v="3"/>
    <x v="7"/>
    <x v="2"/>
    <n v="105.60925638891058"/>
    <s v="Friday"/>
    <s v="July"/>
    <n v="0"/>
  </r>
  <r>
    <x v="95"/>
    <x v="95"/>
    <d v="2025-07-26T21:49:20"/>
    <x v="0"/>
    <x v="0"/>
    <x v="1"/>
    <n v="28.031021388829686"/>
    <s v="Friday"/>
    <s v="July"/>
    <n v="21"/>
  </r>
  <r>
    <x v="96"/>
    <x v="96"/>
    <d v="2025-08-14T13:34:20"/>
    <x v="3"/>
    <x v="4"/>
    <x v="2"/>
    <n v="43.742992222309113"/>
    <s v="Tuesday"/>
    <s v="August"/>
    <n v="13"/>
  </r>
  <r>
    <x v="97"/>
    <x v="97"/>
    <d v="2025-08-01T13:28:59"/>
    <x v="2"/>
    <x v="5"/>
    <x v="2"/>
    <n v="160.21090972214006"/>
    <s v="Friday"/>
    <s v="July"/>
    <n v="13"/>
  </r>
  <r>
    <x v="98"/>
    <x v="98"/>
    <d v="2025-09-14T22:26:30"/>
    <x v="1"/>
    <x v="1"/>
    <x v="0"/>
    <n v="3.0616663889377378"/>
    <s v="Sunday"/>
    <s v="September"/>
    <n v="22"/>
  </r>
  <r>
    <x v="99"/>
    <x v="99"/>
    <d v="2025-07-31T09:04:04"/>
    <x v="2"/>
    <x v="4"/>
    <x v="1"/>
    <n v="8.8113313889480196"/>
    <s v="Thursday"/>
    <s v="July"/>
    <n v="9"/>
  </r>
  <r>
    <x v="100"/>
    <x v="100"/>
    <d v="2025-08-17T15:17:50"/>
    <x v="1"/>
    <x v="5"/>
    <x v="3"/>
    <n v="2.0685288888635114"/>
    <s v="Sunday"/>
    <s v="August"/>
    <n v="15"/>
  </r>
  <r>
    <x v="101"/>
    <x v="101"/>
    <d v="2025-09-13T06:31:30"/>
    <x v="1"/>
    <x v="7"/>
    <x v="1"/>
    <n v="41.605333055660594"/>
    <s v="Thursday"/>
    <s v="September"/>
    <n v="6"/>
  </r>
  <r>
    <x v="102"/>
    <x v="102"/>
    <d v="2025-07-02T11:20:43"/>
    <x v="0"/>
    <x v="5"/>
    <x v="2"/>
    <n v="26.523077499994542"/>
    <s v="Tuesday"/>
    <s v="July"/>
    <n v="11"/>
  </r>
  <r>
    <x v="103"/>
    <x v="103"/>
    <d v="2025-06-26T09:59:45"/>
    <x v="1"/>
    <x v="9"/>
    <x v="1"/>
    <n v="11.395052499894518"/>
    <s v="Wednesday"/>
    <s v="June"/>
    <n v="9"/>
  </r>
  <r>
    <x v="104"/>
    <x v="104"/>
    <d v="2025-09-06T10:36:27"/>
    <x v="6"/>
    <x v="9"/>
    <x v="0"/>
    <n v="4.2905480556073599"/>
    <s v="Saturday"/>
    <s v="September"/>
    <n v="10"/>
  </r>
  <r>
    <x v="105"/>
    <x v="105"/>
    <d v="2025-08-05T16:41:24"/>
    <x v="4"/>
    <x v="8"/>
    <x v="2"/>
    <n v="57.938167500018608"/>
    <s v="Sunday"/>
    <s v="August"/>
    <n v="16"/>
  </r>
  <r>
    <x v="106"/>
    <x v="106"/>
    <d v="2025-08-18T18:29:37"/>
    <x v="6"/>
    <x v="2"/>
    <x v="1"/>
    <n v="30.193270277814008"/>
    <s v="Sunday"/>
    <s v="August"/>
    <n v="18"/>
  </r>
  <r>
    <x v="107"/>
    <x v="107"/>
    <d v="2025-07-31T08:11:11"/>
    <x v="2"/>
    <x v="1"/>
    <x v="2"/>
    <n v="65.283170000009704"/>
    <s v="Monday"/>
    <s v="July"/>
    <n v="8"/>
  </r>
  <r>
    <x v="108"/>
    <x v="108"/>
    <d v="2025-07-12T11:56:19"/>
    <x v="2"/>
    <x v="2"/>
    <x v="0"/>
    <n v="4.9788058333215304"/>
    <s v="Saturday"/>
    <s v="July"/>
    <n v="11"/>
  </r>
  <r>
    <x v="109"/>
    <x v="109"/>
    <d v="2025-07-19T22:24:35"/>
    <x v="1"/>
    <x v="2"/>
    <x v="2"/>
    <n v="166.00622638879577"/>
    <s v="Sunday"/>
    <s v="July"/>
    <n v="22"/>
  </r>
  <r>
    <x v="110"/>
    <x v="110"/>
    <d v="2025-07-14T12:35:51"/>
    <x v="3"/>
    <x v="7"/>
    <x v="0"/>
    <n v="6.6577211109688506"/>
    <s v="Monday"/>
    <s v="July"/>
    <n v="12"/>
  </r>
  <r>
    <x v="111"/>
    <x v="111"/>
    <d v="2025-09-04T10:40:12"/>
    <x v="1"/>
    <x v="2"/>
    <x v="2"/>
    <n v="167.17152916663326"/>
    <s v="Thursday"/>
    <s v="August"/>
    <n v="10"/>
  </r>
  <r>
    <x v="112"/>
    <x v="112"/>
    <d v="2025-09-02T04:40:56"/>
    <x v="5"/>
    <x v="1"/>
    <x v="2"/>
    <n v="116.64569888898404"/>
    <s v="Thursday"/>
    <s v="August"/>
    <n v="4"/>
  </r>
  <r>
    <x v="113"/>
    <x v="113"/>
    <d v="2025-08-20T13:31:35"/>
    <x v="2"/>
    <x v="3"/>
    <x v="0"/>
    <n v="2.1963719445629977"/>
    <s v="Wednesday"/>
    <s v="August"/>
    <n v="13"/>
  </r>
  <r>
    <x v="114"/>
    <x v="114"/>
    <d v="2025-06-26T21:07:28"/>
    <x v="0"/>
    <x v="4"/>
    <x v="1"/>
    <n v="14.470271944475826"/>
    <s v="Thursday"/>
    <s v="June"/>
    <n v="21"/>
  </r>
  <r>
    <x v="115"/>
    <x v="115"/>
    <d v="2025-09-08T17:50:48"/>
    <x v="3"/>
    <x v="9"/>
    <x v="2"/>
    <n v="113.80862611118937"/>
    <s v="Thursday"/>
    <s v="September"/>
    <n v="17"/>
  </r>
  <r>
    <x v="116"/>
    <x v="116"/>
    <d v="2025-07-15T11:50:20"/>
    <x v="1"/>
    <x v="2"/>
    <x v="1"/>
    <n v="32.350627499981783"/>
    <s v="Monday"/>
    <s v="July"/>
    <n v="11"/>
  </r>
  <r>
    <x v="117"/>
    <x v="117"/>
    <d v="2025-07-26T02:18:46"/>
    <x v="3"/>
    <x v="8"/>
    <x v="1"/>
    <n v="43.64519111107802"/>
    <s v="Thursday"/>
    <s v="July"/>
    <n v="2"/>
  </r>
  <r>
    <x v="118"/>
    <x v="118"/>
    <d v="2025-08-10T12:59:57"/>
    <x v="6"/>
    <x v="5"/>
    <x v="2"/>
    <n v="158.29284999996889"/>
    <s v="Sunday"/>
    <s v="August"/>
    <n v="12"/>
  </r>
  <r>
    <x v="119"/>
    <x v="119"/>
    <d v="2025-07-12T19:05:17"/>
    <x v="2"/>
    <x v="1"/>
    <x v="1"/>
    <n v="18.828435555682518"/>
    <s v="Saturday"/>
    <s v="July"/>
    <n v="19"/>
  </r>
  <r>
    <x v="120"/>
    <x v="120"/>
    <d v="2025-07-20T07:25:23"/>
    <x v="0"/>
    <x v="4"/>
    <x v="1"/>
    <n v="18.383862499846146"/>
    <s v="Saturday"/>
    <s v="July"/>
    <n v="7"/>
  </r>
  <r>
    <x v="121"/>
    <x v="121"/>
    <d v="2025-06-30T10:31:43"/>
    <x v="3"/>
    <x v="7"/>
    <x v="1"/>
    <n v="14.387059999862686"/>
    <s v="Sunday"/>
    <s v="June"/>
    <n v="10"/>
  </r>
  <r>
    <x v="122"/>
    <x v="122"/>
    <d v="2025-07-30T09:24:48"/>
    <x v="1"/>
    <x v="0"/>
    <x v="1"/>
    <n v="18.575216666562483"/>
    <s v="Tuesday"/>
    <s v="July"/>
    <n v="9"/>
  </r>
  <r>
    <x v="123"/>
    <x v="123"/>
    <d v="2025-08-20T19:06:33"/>
    <x v="4"/>
    <x v="1"/>
    <x v="1"/>
    <n v="41.917130555491894"/>
    <s v="Tuesday"/>
    <s v="August"/>
    <n v="19"/>
  </r>
  <r>
    <x v="124"/>
    <x v="124"/>
    <d v="2025-06-25T18:46:33"/>
    <x v="6"/>
    <x v="9"/>
    <x v="1"/>
    <n v="12.709414444339927"/>
    <s v="Wednesday"/>
    <s v="June"/>
    <n v="18"/>
  </r>
  <r>
    <x v="125"/>
    <x v="125"/>
    <d v="2025-08-03T12:11:22"/>
    <x v="6"/>
    <x v="3"/>
    <x v="1"/>
    <n v="17.723529444483574"/>
    <s v="Saturday"/>
    <s v="August"/>
    <n v="12"/>
  </r>
  <r>
    <x v="126"/>
    <x v="126"/>
    <d v="2025-08-29T23:04:42"/>
    <x v="2"/>
    <x v="5"/>
    <x v="2"/>
    <n v="94.699864166672342"/>
    <s v="Tuesday"/>
    <s v="August"/>
    <n v="23"/>
  </r>
  <r>
    <x v="127"/>
    <x v="127"/>
    <d v="2025-07-22T01:23:32"/>
    <x v="1"/>
    <x v="9"/>
    <x v="2"/>
    <n v="106.00362444436178"/>
    <s v="Thursday"/>
    <s v="July"/>
    <n v="1"/>
  </r>
  <r>
    <x v="128"/>
    <x v="128"/>
    <d v="2025-09-10T01:18:37"/>
    <x v="4"/>
    <x v="2"/>
    <x v="0"/>
    <n v="8.2745902778115124"/>
    <s v="Tuesday"/>
    <s v="September"/>
    <n v="1"/>
  </r>
  <r>
    <x v="129"/>
    <x v="129"/>
    <d v="2025-09-08T16:09:05"/>
    <x v="0"/>
    <x v="1"/>
    <x v="1"/>
    <n v="46.64600083330879"/>
    <s v="Saturday"/>
    <s v="September"/>
    <n v="16"/>
  </r>
  <r>
    <x v="130"/>
    <x v="130"/>
    <d v="2025-09-12T16:37:10"/>
    <x v="6"/>
    <x v="6"/>
    <x v="2"/>
    <n v="43.714935555530246"/>
    <s v="Wednesday"/>
    <s v="September"/>
    <n v="16"/>
  </r>
  <r>
    <x v="131"/>
    <x v="131"/>
    <d v="2025-08-14T09:20:30"/>
    <x v="6"/>
    <x v="2"/>
    <x v="2"/>
    <n v="92.843407222302631"/>
    <s v="Sunday"/>
    <s v="August"/>
    <n v="9"/>
  </r>
  <r>
    <x v="132"/>
    <x v="132"/>
    <d v="2025-09-10T14:05:49"/>
    <x v="0"/>
    <x v="7"/>
    <x v="2"/>
    <n v="83.458815555553883"/>
    <s v="Sunday"/>
    <s v="September"/>
    <n v="14"/>
  </r>
  <r>
    <x v="133"/>
    <x v="133"/>
    <d v="2025-07-21T17:05:13"/>
    <x v="3"/>
    <x v="3"/>
    <x v="0"/>
    <n v="9.966525555588305"/>
    <s v="Monday"/>
    <s v="July"/>
    <n v="17"/>
  </r>
  <r>
    <x v="134"/>
    <x v="134"/>
    <d v="2025-08-22T00:38:38"/>
    <x v="0"/>
    <x v="5"/>
    <x v="2"/>
    <n v="167.59663333342178"/>
    <s v="Friday"/>
    <s v="August"/>
    <n v="0"/>
  </r>
  <r>
    <x v="135"/>
    <x v="135"/>
    <d v="2025-06-29T00:46:12"/>
    <x v="5"/>
    <x v="6"/>
    <x v="2"/>
    <n v="114.81629194447305"/>
    <s v="Tuesday"/>
    <s v="June"/>
    <n v="0"/>
  </r>
  <r>
    <x v="136"/>
    <x v="136"/>
    <d v="2025-09-17T23:47:19"/>
    <x v="2"/>
    <x v="6"/>
    <x v="2"/>
    <n v="77.951536388893146"/>
    <s v="Sunday"/>
    <s v="September"/>
    <n v="23"/>
  </r>
  <r>
    <x v="137"/>
    <x v="137"/>
    <d v="2025-06-30T23:16:51"/>
    <x v="2"/>
    <x v="1"/>
    <x v="2"/>
    <n v="38.037633333471604"/>
    <s v="Sunday"/>
    <s v="June"/>
    <n v="23"/>
  </r>
  <r>
    <x v="138"/>
    <x v="138"/>
    <d v="2025-08-20T12:41:10"/>
    <x v="1"/>
    <x v="0"/>
    <x v="1"/>
    <n v="23.30690499994671"/>
    <s v="Tuesday"/>
    <s v="August"/>
    <n v="12"/>
  </r>
  <r>
    <x v="139"/>
    <x v="139"/>
    <d v="2025-08-27T10:24:43"/>
    <x v="4"/>
    <x v="6"/>
    <x v="2"/>
    <n v="139.76372777775396"/>
    <s v="Thursday"/>
    <s v="August"/>
    <n v="10"/>
  </r>
  <r>
    <x v="140"/>
    <x v="140"/>
    <d v="2025-08-06T01:50:41"/>
    <x v="2"/>
    <x v="8"/>
    <x v="1"/>
    <n v="14.877491944469512"/>
    <s v="Tuesday"/>
    <s v="August"/>
    <n v="1"/>
  </r>
  <r>
    <x v="141"/>
    <x v="141"/>
    <d v="2025-08-18T23:14:10"/>
    <x v="2"/>
    <x v="0"/>
    <x v="1"/>
    <n v="12.868507222097833"/>
    <s v="Monday"/>
    <s v="August"/>
    <n v="23"/>
  </r>
  <r>
    <x v="142"/>
    <x v="142"/>
    <d v="2025-09-14T21:34:39"/>
    <x v="4"/>
    <x v="4"/>
    <x v="1"/>
    <n v="29.233325277746189"/>
    <s v="Saturday"/>
    <s v="September"/>
    <n v="21"/>
  </r>
  <r>
    <x v="143"/>
    <x v="143"/>
    <d v="2025-08-06T22:49:37"/>
    <x v="2"/>
    <x v="3"/>
    <x v="2"/>
    <n v="88.001805555482861"/>
    <s v="Sunday"/>
    <s v="August"/>
    <n v="22"/>
  </r>
  <r>
    <x v="144"/>
    <x v="144"/>
    <d v="2025-06-27T15:18:06"/>
    <x v="1"/>
    <x v="8"/>
    <x v="1"/>
    <n v="12.229459166585002"/>
    <s v="Friday"/>
    <s v="June"/>
    <n v="15"/>
  </r>
  <r>
    <x v="145"/>
    <x v="145"/>
    <d v="2025-08-31T17:50:14"/>
    <x v="6"/>
    <x v="3"/>
    <x v="3"/>
    <n v="2.009704444441013"/>
    <s v="Sunday"/>
    <s v="August"/>
    <n v="17"/>
  </r>
  <r>
    <x v="146"/>
    <x v="146"/>
    <d v="2025-06-24T18:54:19"/>
    <x v="4"/>
    <x v="6"/>
    <x v="0"/>
    <n v="7.8493558333721012"/>
    <s v="Tuesday"/>
    <s v="June"/>
    <n v="18"/>
  </r>
  <r>
    <x v="147"/>
    <x v="147"/>
    <d v="2025-09-06T05:01:09"/>
    <x v="5"/>
    <x v="3"/>
    <x v="2"/>
    <n v="84.074126666528173"/>
    <s v="Tuesday"/>
    <s v="September"/>
    <n v="5"/>
  </r>
  <r>
    <x v="148"/>
    <x v="148"/>
    <d v="2025-07-17T16:50:12"/>
    <x v="0"/>
    <x v="7"/>
    <x v="1"/>
    <n v="26.466056388861034"/>
    <s v="Wednesday"/>
    <s v="July"/>
    <n v="16"/>
  </r>
  <r>
    <x v="149"/>
    <x v="149"/>
    <d v="2025-08-01T04:13:25"/>
    <x v="2"/>
    <x v="0"/>
    <x v="1"/>
    <n v="24.012929444492329"/>
    <s v="Thursday"/>
    <s v="July"/>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CA024-F618-435B-A8A2-13E79CCCBD2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7"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showAll="0">
      <items count="8">
        <item x="1"/>
        <item x="5"/>
        <item x="0"/>
        <item x="4"/>
        <item x="2"/>
        <item x="6"/>
        <item x="3"/>
        <item t="default"/>
      </items>
    </pivotField>
    <pivotField axis="axisRow" showAll="0" sortType="a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9"/>
    </i>
    <i>
      <x v="6"/>
    </i>
    <i>
      <x v="4"/>
    </i>
    <i>
      <x/>
    </i>
    <i>
      <x v="8"/>
    </i>
    <i>
      <x v="3"/>
    </i>
    <i>
      <x v="5"/>
    </i>
    <i>
      <x v="7"/>
    </i>
    <i>
      <x v="2"/>
    </i>
    <i>
      <x v="1"/>
    </i>
    <i t="grand">
      <x/>
    </i>
  </rowItems>
  <colItems count="1">
    <i/>
  </colItems>
  <dataFields count="1">
    <dataField name="Average of Resolution Time (in hours)" fld="6"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875A44-D14F-4756-8134-C71A1F35A8DE}"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4"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axis="axisRow" showAll="0" sortType="descending">
      <items count="8">
        <item x="1"/>
        <item x="5"/>
        <item x="0"/>
        <item x="4"/>
        <item x="2"/>
        <item x="6"/>
        <item x="3"/>
        <item t="default"/>
      </items>
      <autoSortScope>
        <pivotArea dataOnly="0" outline="0" fieldPosition="0">
          <references count="1">
            <reference field="4294967294" count="1" selected="0">
              <x v="0"/>
            </reference>
          </references>
        </pivotArea>
      </autoSortScope>
    </pivotField>
    <pivotField showAll="0">
      <items count="11">
        <item x="7"/>
        <item x="6"/>
        <item x="5"/>
        <item x="3"/>
        <item x="4"/>
        <item x="9"/>
        <item x="8"/>
        <item x="2"/>
        <item x="1"/>
        <item x="0"/>
        <item t="default"/>
      </items>
    </pivotField>
    <pivotField showAll="0">
      <items count="5">
        <item x="3"/>
        <item x="0"/>
        <item x="2"/>
        <item x="1"/>
        <item t="default"/>
      </items>
    </pivotField>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i>
    <i>
      <x v="4"/>
    </i>
    <i>
      <x v="3"/>
    </i>
    <i>
      <x v="2"/>
    </i>
    <i>
      <x v="6"/>
    </i>
    <i>
      <x v="5"/>
    </i>
    <i>
      <x v="1"/>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56D34-FE9E-4A00-BB65-853DBF5038B5}"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7" firstHeaderRow="0" firstDataRow="1" firstDataCol="0"/>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items count="5">
        <item x="3"/>
        <item x="0"/>
        <item x="2"/>
        <item x="1"/>
        <item t="default"/>
      </items>
    </pivotField>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Count of ticket_id" fld="0" subtotal="count" baseField="0" baseItem="0"/>
    <dataField name="Average of Resolution Time (in hours)" fld="6"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1C447-560A-40AC-ABEE-6C2EB892F845}"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4"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showAll="0">
      <items count="8">
        <item x="3"/>
        <item x="6"/>
        <item x="2"/>
        <item x="4"/>
        <item x="0"/>
        <item x="5"/>
        <item x="1"/>
        <item t="default"/>
      </items>
    </pivotField>
    <pivotField axis="axisRow" showAll="0" sortType="a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9"/>
    </i>
    <i>
      <x v="6"/>
    </i>
    <i>
      <x v="4"/>
    </i>
    <i>
      <x/>
    </i>
    <i>
      <x v="8"/>
    </i>
    <i>
      <x v="3"/>
    </i>
    <i>
      <x v="5"/>
    </i>
    <i>
      <x v="7"/>
    </i>
    <i>
      <x v="2"/>
    </i>
    <i>
      <x v="1"/>
    </i>
    <i t="grand">
      <x/>
    </i>
  </rowItems>
  <colItems count="1">
    <i/>
  </colItems>
  <dataFields count="1">
    <dataField name="Average of Resolution Time (in hours)" fld="6" subtotal="average" baseField="5" baseItem="0" numFmtId="2"/>
  </dataFields>
  <chartFormats count="2">
    <chartFormat chart="7"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1EAD4-68BF-4DDF-BAB7-755CDA9AF6A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v="2"/>
    </i>
    <i>
      <x v="3"/>
    </i>
    <i>
      <x v="1"/>
    </i>
    <i>
      <x/>
    </i>
    <i t="grand">
      <x/>
    </i>
  </rowItems>
  <colItems count="1">
    <i/>
  </colItems>
  <dataFields count="1">
    <dataField name="Average of Resolution Time (in hours)" fld="6" subtotal="average" baseField="5" baseItem="0" numFmtId="2"/>
  </dataFields>
  <chartFormats count="10">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5" count="1" selected="0">
            <x v="2"/>
          </reference>
        </references>
      </pivotArea>
    </chartFormat>
    <chartFormat chart="7" format="8">
      <pivotArea type="data" outline="0" fieldPosition="0">
        <references count="2">
          <reference field="4294967294" count="1" selected="0">
            <x v="0"/>
          </reference>
          <reference field="5" count="1" selected="0">
            <x v="3"/>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2"/>
          </reference>
        </references>
      </pivotArea>
    </chartFormat>
    <chartFormat chart="9" format="18">
      <pivotArea type="data" outline="0" fieldPosition="0">
        <references count="2">
          <reference field="4294967294" count="1" selected="0">
            <x v="0"/>
          </reference>
          <reference field="5" count="1" selected="0">
            <x v="3"/>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DB3369-F452-4CF1-99B7-2BE301653E1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1"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axis="axisRow" showAll="0" sortType="descending">
      <items count="8">
        <item x="3"/>
        <item x="6"/>
        <item x="2"/>
        <item x="4"/>
        <item x="0"/>
        <item x="5"/>
        <item x="1"/>
        <item t="default"/>
      </items>
      <autoSortScope>
        <pivotArea dataOnly="0" outline="0" fieldPosition="0">
          <references count="1">
            <reference field="4294967294" count="1" selected="0">
              <x v="0"/>
            </reference>
          </references>
        </pivotArea>
      </autoSortScope>
    </pivotField>
    <pivotField showAll="0">
      <items count="11">
        <item x="7"/>
        <item x="6"/>
        <item x="5"/>
        <item x="3"/>
        <item x="4"/>
        <item x="9"/>
        <item x="8"/>
        <item x="2"/>
        <item x="1"/>
        <item x="0"/>
        <item t="default"/>
      </items>
    </pivotField>
    <pivotField showAll="0">
      <items count="5">
        <item x="3"/>
        <item x="0"/>
        <item x="2"/>
        <item x="1"/>
        <item t="default"/>
      </items>
    </pivotField>
    <pivotField dataField="1"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8">
    <i>
      <x v="5"/>
    </i>
    <i>
      <x v="1"/>
    </i>
    <i>
      <x v="6"/>
    </i>
    <i>
      <x v="4"/>
    </i>
    <i>
      <x v="3"/>
    </i>
    <i>
      <x/>
    </i>
    <i>
      <x v="2"/>
    </i>
    <i t="grand">
      <x/>
    </i>
  </rowItems>
  <colItems count="1">
    <i/>
  </colItems>
  <dataFields count="1">
    <dataField name="Average of Resolution Time (in hours)" fld="6" subtotal="average" baseField="3" baseItem="0" numFmtId="2"/>
  </dataFields>
  <chartFormats count="2">
    <chartFormat chart="11"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C10B2-320C-4070-A8C6-05200739C98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items count="151">
        <item x="72"/>
        <item x="59"/>
        <item x="80"/>
        <item x="55"/>
        <item x="47"/>
        <item x="22"/>
        <item x="20"/>
        <item x="26"/>
        <item x="11"/>
        <item x="135"/>
        <item x="146"/>
        <item x="92"/>
        <item x="124"/>
        <item x="93"/>
        <item x="103"/>
        <item x="114"/>
        <item x="81"/>
        <item x="144"/>
        <item x="79"/>
        <item x="0"/>
        <item x="12"/>
        <item x="52"/>
        <item x="137"/>
        <item x="121"/>
        <item x="17"/>
        <item x="35"/>
        <item x="18"/>
        <item x="102"/>
        <item x="62"/>
        <item x="48"/>
        <item x="19"/>
        <item x="27"/>
        <item x="7"/>
        <item x="45"/>
        <item x="67"/>
        <item x="84"/>
        <item x="8"/>
        <item x="21"/>
        <item x="14"/>
        <item x="87"/>
        <item x="32"/>
        <item x="119"/>
        <item x="24"/>
        <item x="108"/>
        <item x="90"/>
        <item x="109"/>
        <item x="25"/>
        <item x="116"/>
        <item x="110"/>
        <item x="54"/>
        <item x="148"/>
        <item x="127"/>
        <item x="77"/>
        <item x="66"/>
        <item x="120"/>
        <item x="76"/>
        <item x="133"/>
        <item x="70"/>
        <item x="57"/>
        <item x="13"/>
        <item x="50"/>
        <item x="78"/>
        <item x="15"/>
        <item x="117"/>
        <item x="71"/>
        <item x="94"/>
        <item x="95"/>
        <item x="97"/>
        <item x="42"/>
        <item x="107"/>
        <item x="3"/>
        <item x="83"/>
        <item x="122"/>
        <item x="85"/>
        <item x="43"/>
        <item x="99"/>
        <item x="149"/>
        <item x="51"/>
        <item x="56"/>
        <item x="63"/>
        <item x="125"/>
        <item x="44"/>
        <item x="105"/>
        <item x="143"/>
        <item x="118"/>
        <item x="5"/>
        <item x="140"/>
        <item x="91"/>
        <item x="16"/>
        <item x="58"/>
        <item x="74"/>
        <item x="49"/>
        <item x="82"/>
        <item x="131"/>
        <item x="37"/>
        <item x="96"/>
        <item x="39"/>
        <item x="134"/>
        <item x="53"/>
        <item x="106"/>
        <item x="100"/>
        <item x="65"/>
        <item x="141"/>
        <item x="123"/>
        <item x="138"/>
        <item x="113"/>
        <item x="139"/>
        <item x="6"/>
        <item x="86"/>
        <item x="34"/>
        <item x="31"/>
        <item x="68"/>
        <item x="126"/>
        <item x="60"/>
        <item x="10"/>
        <item x="29"/>
        <item x="75"/>
        <item x="112"/>
        <item x="111"/>
        <item x="23"/>
        <item x="46"/>
        <item x="30"/>
        <item x="145"/>
        <item x="38"/>
        <item x="1"/>
        <item x="89"/>
        <item x="147"/>
        <item x="73"/>
        <item x="4"/>
        <item x="115"/>
        <item x="2"/>
        <item x="33"/>
        <item x="40"/>
        <item x="104"/>
        <item x="129"/>
        <item x="69"/>
        <item x="132"/>
        <item x="36"/>
        <item x="128"/>
        <item x="64"/>
        <item x="9"/>
        <item x="61"/>
        <item x="130"/>
        <item x="101"/>
        <item x="88"/>
        <item x="142"/>
        <item x="41"/>
        <item x="136"/>
        <item x="98"/>
        <item x="28"/>
        <item t="default"/>
      </items>
    </pivotField>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items count="5">
        <item x="3"/>
        <item x="0"/>
        <item x="2"/>
        <item x="1"/>
        <item t="default"/>
      </items>
    </pivotField>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1"/>
  </rowFields>
  <rowItems count="5">
    <i>
      <x v="6"/>
    </i>
    <i>
      <x v="9"/>
    </i>
    <i>
      <x v="8"/>
    </i>
    <i>
      <x v="7"/>
    </i>
    <i t="grand">
      <x/>
    </i>
  </rowItems>
  <colItems count="1">
    <i/>
  </colItems>
  <dataFields count="1">
    <dataField name="Count of ticket_id" fld="0" subtotal="count" baseField="0" baseItem="0"/>
  </dataFields>
  <chartFormats count="3">
    <chartFormat chart="8"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91AB8D-FE11-43DD-8308-61734E7480B3}"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64163463">
      <items count="7">
        <i x="3" s="1"/>
        <i x="6"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8C316DFB-13C0-46B4-94DA-21DBE44C4CE5}" sourceName="assigned_analyst">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64163463">
      <items count="10">
        <i x="7" s="1"/>
        <i x="6" s="1"/>
        <i x="5" s="1"/>
        <i x="3" s="1"/>
        <i x="4" s="1"/>
        <i x="9" s="1"/>
        <i x="8"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EA262DC2-2AAF-49BD-A51B-DEAB12FB8A0D}" sourceName="priorit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6416346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F3D5D38-FCDF-4540-85EE-C36547B4A446}" cache="Slicer_category" caption="category" style="Slicer Style 1" rowHeight="244336"/>
  <slicer name="assigned_analyst 1" xr10:uid="{B2109851-75DD-4087-866B-D35AEC927F9B}" cache="Slicer_assigned_analyst" caption="assigned_analyst" style="Slicer Style 1" rowHeight="244336"/>
  <slicer name="priority 1" xr10:uid="{E53F833F-BFC5-4404-8866-091B0F4134D0}" cache="Slicer_priority" caption="priority" style="Slicer Style 1" rowHeight="24433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22C7EE-38D7-41F2-9E83-CE5DF003579E}" cache="Slicer_category" caption="category" rowHeight="244336"/>
  <slicer name="assigned_analyst" xr10:uid="{01A93C4C-B2DE-49D7-9DD7-125915D4FC16}" cache="Slicer_assigned_analyst" caption="assigned_analyst" rowHeight="244336"/>
  <slicer name="priority" xr10:uid="{8BA5157D-A185-4DB3-9566-D846C83E2B63}" cache="Slicer_priority" caption="priority"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1DBB3-B914-44AB-A522-5987BBBEBD10}" name="Table1" displayName="Table1" ref="A1:K151" totalsRowShown="0">
  <autoFilter ref="A1:K151" xr:uid="{9B98E8AE-8F60-4420-8052-9A74C91EB4BF}"/>
  <tableColumns count="11">
    <tableColumn id="1" xr3:uid="{A9481EDE-FC04-416D-8B1E-A71A6390200C}" name="ticket_id"/>
    <tableColumn id="2" xr3:uid="{33012BF7-D726-4DF6-AF64-9E4B0E6094B9}" name="submission_date" dataDxfId="7"/>
    <tableColumn id="3" xr3:uid="{65919B26-5A70-4255-BE7A-5436902F6FCC}" name="resolution_date" dataDxfId="6"/>
    <tableColumn id="4" xr3:uid="{A86624F2-D4E4-4860-A521-D553D6E5B466}" name="category"/>
    <tableColumn id="5" xr3:uid="{2FCA876D-91FC-45C2-9F24-91803ED431EE}" name="assigned_analyst"/>
    <tableColumn id="7" xr3:uid="{C8473A76-B1FA-4B99-A3F6-5EF955299ED9}" name="priority"/>
    <tableColumn id="8" xr3:uid="{1AD82B34-A26E-4496-8EE5-4478C261CC35}" name="Resolution Time (in hours)" dataDxfId="5">
      <calculatedColumnFormula>(Table1[[#This Row],[resolution_date]]-Table1[[#This Row],[submission_date]])*24</calculatedColumnFormula>
    </tableColumn>
    <tableColumn id="9" xr3:uid="{E6C97F35-26C4-475B-A119-3F06F47EAE46}" name="Day of Week" dataDxfId="4">
      <calculatedColumnFormula>TEXT(Table1[[#This Row],[submission_date]],"DDDD")</calculatedColumnFormula>
    </tableColumn>
    <tableColumn id="10" xr3:uid="{347B0A08-C3A5-4154-90DA-8F0C5F6B2409}" name="Month" dataDxfId="3">
      <calculatedColumnFormula>TEXT(Table1[[#This Row],[submission_date]],"mmmm")</calculatedColumnFormula>
    </tableColumn>
    <tableColumn id="11" xr3:uid="{954D1A7C-4DD7-41CB-842D-9050A44E9968}" name="Hour" dataDxfId="2">
      <calculatedColumnFormula>HOUR(Table1[[#This Row],[resolution_date]])</calculatedColumnFormula>
    </tableColumn>
    <tableColumn id="12" xr3:uid="{0D1D0237-3FD1-4233-A5FB-B47CFDB96ED0}" name="descrip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EE1B-271E-4F96-88BE-3BC7E552942F}">
  <dimension ref="A2:K28"/>
  <sheetViews>
    <sheetView topLeftCell="A4" workbookViewId="0">
      <selection activeCell="B15" sqref="B15"/>
    </sheetView>
  </sheetViews>
  <sheetFormatPr defaultRowHeight="15.05" x14ac:dyDescent="0.3"/>
  <cols>
    <col min="1" max="1" width="16.109375" bestFit="1" customWidth="1"/>
    <col min="2" max="2" width="33.109375" bestFit="1" customWidth="1"/>
    <col min="3" max="3" width="12.44140625" bestFit="1" customWidth="1"/>
    <col min="4" max="4" width="16.109375" bestFit="1" customWidth="1"/>
    <col min="5" max="6" width="33.109375" bestFit="1" customWidth="1"/>
    <col min="7" max="7" width="12.44140625" bestFit="1" customWidth="1"/>
    <col min="8" max="8" width="33.109375" bestFit="1" customWidth="1"/>
    <col min="10" max="10" width="13.109375" bestFit="1" customWidth="1"/>
    <col min="11" max="11" width="33.109375" bestFit="1" customWidth="1"/>
  </cols>
  <sheetData>
    <row r="2" spans="1:11" x14ac:dyDescent="0.3">
      <c r="A2" s="9" t="s">
        <v>338</v>
      </c>
      <c r="B2" s="9"/>
      <c r="D2" s="9" t="s">
        <v>340</v>
      </c>
      <c r="E2" s="9"/>
      <c r="G2" s="9" t="s">
        <v>341</v>
      </c>
      <c r="H2" s="9"/>
      <c r="J2" s="9" t="s">
        <v>4</v>
      </c>
      <c r="K2" s="9"/>
    </row>
    <row r="3" spans="1:11" x14ac:dyDescent="0.3">
      <c r="A3" s="6" t="s">
        <v>331</v>
      </c>
      <c r="B3" t="s">
        <v>337</v>
      </c>
      <c r="D3" s="6" t="s">
        <v>331</v>
      </c>
      <c r="E3" t="s">
        <v>339</v>
      </c>
      <c r="G3" s="6" t="s">
        <v>331</v>
      </c>
      <c r="H3" t="s">
        <v>339</v>
      </c>
      <c r="J3" s="6" t="s">
        <v>331</v>
      </c>
      <c r="K3" t="s">
        <v>339</v>
      </c>
    </row>
    <row r="4" spans="1:11" x14ac:dyDescent="0.3">
      <c r="A4" s="7" t="s">
        <v>333</v>
      </c>
      <c r="B4" s="8">
        <v>27</v>
      </c>
      <c r="D4" s="7" t="s">
        <v>59</v>
      </c>
      <c r="E4" s="4">
        <v>97.824122936547994</v>
      </c>
      <c r="G4" s="7" t="s">
        <v>29</v>
      </c>
      <c r="H4" s="4">
        <v>105.14095550287688</v>
      </c>
      <c r="J4" s="7" t="s">
        <v>9</v>
      </c>
      <c r="K4" s="4">
        <v>27.262369900771382</v>
      </c>
    </row>
    <row r="5" spans="1:11" x14ac:dyDescent="0.3">
      <c r="A5" s="7" t="s">
        <v>336</v>
      </c>
      <c r="B5" s="8">
        <v>27</v>
      </c>
      <c r="D5" s="7" t="s">
        <v>80</v>
      </c>
      <c r="E5" s="4">
        <v>62.61618182870734</v>
      </c>
      <c r="G5" s="7" t="s">
        <v>16</v>
      </c>
      <c r="H5" s="4">
        <v>27.309928223086033</v>
      </c>
      <c r="J5" s="7" t="s">
        <v>46</v>
      </c>
      <c r="K5" s="4">
        <v>33.453871150792111</v>
      </c>
    </row>
    <row r="6" spans="1:11" x14ac:dyDescent="0.3">
      <c r="A6" s="7" t="s">
        <v>335</v>
      </c>
      <c r="B6" s="8">
        <v>45</v>
      </c>
      <c r="D6" s="7" t="s">
        <v>13</v>
      </c>
      <c r="E6" s="4">
        <v>54.683194008696937</v>
      </c>
      <c r="G6" s="7" t="s">
        <v>11</v>
      </c>
      <c r="H6" s="4">
        <v>6.6783504444546997</v>
      </c>
      <c r="J6" s="7" t="s">
        <v>25</v>
      </c>
      <c r="K6" s="4">
        <v>35.375343632458957</v>
      </c>
    </row>
    <row r="7" spans="1:11" x14ac:dyDescent="0.3">
      <c r="A7" s="7" t="s">
        <v>334</v>
      </c>
      <c r="B7" s="8">
        <v>51</v>
      </c>
      <c r="D7" s="7" t="s">
        <v>8</v>
      </c>
      <c r="E7" s="4">
        <v>51.542925540115299</v>
      </c>
      <c r="G7" s="7" t="s">
        <v>114</v>
      </c>
      <c r="H7" s="4">
        <v>2.2080752082983963</v>
      </c>
      <c r="J7" s="7" t="s">
        <v>42</v>
      </c>
      <c r="K7" s="4">
        <v>46.389953906244045</v>
      </c>
    </row>
    <row r="8" spans="1:11" x14ac:dyDescent="0.3">
      <c r="A8" s="7" t="s">
        <v>332</v>
      </c>
      <c r="B8" s="8">
        <v>150</v>
      </c>
      <c r="D8" s="7" t="s">
        <v>45</v>
      </c>
      <c r="E8" s="4">
        <v>50.114464239123706</v>
      </c>
      <c r="G8" s="7" t="s">
        <v>332</v>
      </c>
      <c r="H8" s="4">
        <v>53.296613061105603</v>
      </c>
      <c r="J8" s="7" t="s">
        <v>14</v>
      </c>
      <c r="K8" s="4">
        <v>47.042569012355266</v>
      </c>
    </row>
    <row r="9" spans="1:11" x14ac:dyDescent="0.3">
      <c r="D9" s="7" t="s">
        <v>31</v>
      </c>
      <c r="E9" s="4">
        <v>44.386786833335648</v>
      </c>
      <c r="J9" s="7" t="s">
        <v>22</v>
      </c>
      <c r="K9" s="4">
        <v>50.214652516334731</v>
      </c>
    </row>
    <row r="10" spans="1:11" x14ac:dyDescent="0.3">
      <c r="D10" s="7" t="s">
        <v>21</v>
      </c>
      <c r="E10" s="4">
        <v>42.636620104167378</v>
      </c>
      <c r="J10" s="7" t="s">
        <v>55</v>
      </c>
      <c r="K10" s="4">
        <v>64.433295659713622</v>
      </c>
    </row>
    <row r="11" spans="1:11" x14ac:dyDescent="0.3">
      <c r="D11" s="7" t="s">
        <v>332</v>
      </c>
      <c r="E11" s="4">
        <v>53.296613061105603</v>
      </c>
      <c r="J11" s="7" t="s">
        <v>18</v>
      </c>
      <c r="K11" s="4">
        <v>66.843557968742971</v>
      </c>
    </row>
    <row r="12" spans="1:11" x14ac:dyDescent="0.3">
      <c r="J12" s="7" t="s">
        <v>32</v>
      </c>
      <c r="K12" s="4">
        <v>72.610398218949896</v>
      </c>
    </row>
    <row r="13" spans="1:11" x14ac:dyDescent="0.3">
      <c r="J13" s="7" t="s">
        <v>35</v>
      </c>
      <c r="K13" s="4">
        <v>82.225628944439819</v>
      </c>
    </row>
    <row r="14" spans="1:11" x14ac:dyDescent="0.3">
      <c r="J14" s="7" t="s">
        <v>332</v>
      </c>
      <c r="K14" s="4">
        <v>53.296613061105603</v>
      </c>
    </row>
    <row r="15" spans="1:11" x14ac:dyDescent="0.3">
      <c r="A15" s="10" t="s">
        <v>346</v>
      </c>
      <c r="B15" s="11" t="s">
        <v>339</v>
      </c>
      <c r="C15" s="12" t="s">
        <v>348</v>
      </c>
      <c r="D15" s="12"/>
      <c r="E15" s="12" t="s">
        <v>347</v>
      </c>
      <c r="F15" s="12"/>
    </row>
    <row r="16" spans="1:11" x14ac:dyDescent="0.3">
      <c r="A16" t="s">
        <v>337</v>
      </c>
      <c r="B16" t="s">
        <v>339</v>
      </c>
      <c r="C16" s="6" t="s">
        <v>331</v>
      </c>
      <c r="D16" t="s">
        <v>337</v>
      </c>
      <c r="E16" s="6" t="s">
        <v>331</v>
      </c>
      <c r="F16" t="s">
        <v>339</v>
      </c>
    </row>
    <row r="17" spans="1:6" x14ac:dyDescent="0.3">
      <c r="A17" s="8">
        <v>150</v>
      </c>
      <c r="B17" s="4">
        <v>53.296613061105603</v>
      </c>
      <c r="C17" s="7" t="s">
        <v>13</v>
      </c>
      <c r="D17" s="8">
        <v>51</v>
      </c>
      <c r="E17" s="7" t="s">
        <v>9</v>
      </c>
      <c r="F17" s="4">
        <v>27.262369900771382</v>
      </c>
    </row>
    <row r="18" spans="1:6" x14ac:dyDescent="0.3">
      <c r="A18">
        <f>GETPIVOTDATA("Count of ticket_id",$A$16)</f>
        <v>150</v>
      </c>
      <c r="B18" s="4">
        <f>GETPIVOTDATA("Average of Resolution Time (in hours)",$A$16)</f>
        <v>53.296613061105603</v>
      </c>
      <c r="C18" s="7" t="s">
        <v>21</v>
      </c>
      <c r="D18" s="8">
        <v>24</v>
      </c>
      <c r="E18" s="7" t="s">
        <v>46</v>
      </c>
      <c r="F18" s="4">
        <v>33.453871150792111</v>
      </c>
    </row>
    <row r="19" spans="1:6" x14ac:dyDescent="0.3">
      <c r="C19" s="7" t="s">
        <v>45</v>
      </c>
      <c r="D19" s="8">
        <v>23</v>
      </c>
      <c r="E19" s="7" t="s">
        <v>25</v>
      </c>
      <c r="F19" s="4">
        <v>35.375343632458957</v>
      </c>
    </row>
    <row r="20" spans="1:6" x14ac:dyDescent="0.3">
      <c r="C20" s="7" t="s">
        <v>8</v>
      </c>
      <c r="D20" s="8">
        <v>18</v>
      </c>
      <c r="E20" s="7" t="s">
        <v>42</v>
      </c>
      <c r="F20" s="4">
        <v>46.389953906244045</v>
      </c>
    </row>
    <row r="21" spans="1:6" x14ac:dyDescent="0.3">
      <c r="C21" s="7" t="s">
        <v>31</v>
      </c>
      <c r="D21" s="8">
        <v>15</v>
      </c>
      <c r="E21" s="7" t="s">
        <v>14</v>
      </c>
      <c r="F21" s="4">
        <v>47.042569012355266</v>
      </c>
    </row>
    <row r="22" spans="1:6" x14ac:dyDescent="0.3">
      <c r="C22" s="7" t="s">
        <v>80</v>
      </c>
      <c r="D22" s="8">
        <v>12</v>
      </c>
      <c r="E22" s="7" t="s">
        <v>22</v>
      </c>
      <c r="F22" s="4">
        <v>50.214652516334731</v>
      </c>
    </row>
    <row r="23" spans="1:6" x14ac:dyDescent="0.3">
      <c r="C23" s="7" t="s">
        <v>59</v>
      </c>
      <c r="D23" s="8">
        <v>7</v>
      </c>
      <c r="E23" s="7" t="s">
        <v>55</v>
      </c>
      <c r="F23" s="4">
        <v>64.433295659713622</v>
      </c>
    </row>
    <row r="24" spans="1:6" x14ac:dyDescent="0.3">
      <c r="C24" s="7" t="s">
        <v>332</v>
      </c>
      <c r="D24" s="8">
        <v>150</v>
      </c>
      <c r="E24" s="7" t="s">
        <v>18</v>
      </c>
      <c r="F24" s="4">
        <v>66.843557968742971</v>
      </c>
    </row>
    <row r="25" spans="1:6" x14ac:dyDescent="0.3">
      <c r="E25" s="7" t="s">
        <v>32</v>
      </c>
      <c r="F25" s="4">
        <v>72.610398218949896</v>
      </c>
    </row>
    <row r="26" spans="1:6" x14ac:dyDescent="0.3">
      <c r="E26" s="7" t="s">
        <v>35</v>
      </c>
      <c r="F26" s="4">
        <v>82.225628944439819</v>
      </c>
    </row>
    <row r="27" spans="1:6" x14ac:dyDescent="0.3">
      <c r="E27" s="7" t="s">
        <v>332</v>
      </c>
      <c r="F27" s="4">
        <v>53.296613061105603</v>
      </c>
    </row>
    <row r="28" spans="1:6" x14ac:dyDescent="0.3">
      <c r="C28" t="str" cm="1">
        <f t="array" ref="C28:D28">C17:D17</f>
        <v>Software</v>
      </c>
      <c r="D28">
        <v>51</v>
      </c>
    </row>
  </sheetData>
  <mergeCells count="6">
    <mergeCell ref="A2:B2"/>
    <mergeCell ref="D2:E2"/>
    <mergeCell ref="G2:H2"/>
    <mergeCell ref="J2:K2"/>
    <mergeCell ref="E15:F15"/>
    <mergeCell ref="C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2050-53CA-4755-B73A-D984196734A4}">
  <dimension ref="A1"/>
  <sheetViews>
    <sheetView showGridLines="0" tabSelected="1" zoomScaleNormal="100" workbookViewId="0">
      <selection activeCell="V7" sqref="V7"/>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DFEA1-6781-4CA2-8AB1-2BDF85AF27E2}">
  <dimension ref="A1"/>
  <sheetViews>
    <sheetView showGridLines="0" workbookViewId="0">
      <selection activeCell="Q8" sqref="Q8"/>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E8AE-8F60-4420-8052-9A74C91EB4BF}">
  <dimension ref="A1:N151"/>
  <sheetViews>
    <sheetView zoomScale="85" zoomScaleNormal="85" workbookViewId="0">
      <selection activeCell="E1" sqref="E1"/>
    </sheetView>
  </sheetViews>
  <sheetFormatPr defaultRowHeight="15.05" x14ac:dyDescent="0.3"/>
  <cols>
    <col min="1" max="1" width="11.33203125" bestFit="1" customWidth="1"/>
    <col min="2" max="2" width="22.5546875" customWidth="1"/>
    <col min="3" max="3" width="18.21875" customWidth="1"/>
    <col min="4" max="4" width="12" customWidth="1"/>
    <col min="5" max="5" width="17" customWidth="1"/>
    <col min="6" max="6" width="8.88671875" customWidth="1"/>
    <col min="7" max="7" width="15.33203125" customWidth="1"/>
    <col min="8" max="10" width="13.77734375" customWidth="1"/>
    <col min="11" max="11" width="97.88671875" bestFit="1" customWidth="1"/>
    <col min="13" max="13" width="18.5546875" customWidth="1"/>
  </cols>
  <sheetData>
    <row r="1" spans="1:14" ht="30.05" x14ac:dyDescent="0.3">
      <c r="A1" t="s">
        <v>0</v>
      </c>
      <c r="B1" s="3" t="s">
        <v>1</v>
      </c>
      <c r="C1" s="3" t="s">
        <v>2</v>
      </c>
      <c r="D1" s="3" t="s">
        <v>3</v>
      </c>
      <c r="E1" s="3" t="s">
        <v>4</v>
      </c>
      <c r="F1" s="3" t="s">
        <v>6</v>
      </c>
      <c r="G1" s="3" t="s">
        <v>327</v>
      </c>
      <c r="H1" t="s">
        <v>328</v>
      </c>
      <c r="I1" t="s">
        <v>329</v>
      </c>
      <c r="J1" t="s">
        <v>330</v>
      </c>
      <c r="K1" t="s">
        <v>5</v>
      </c>
    </row>
    <row r="2" spans="1:14" x14ac:dyDescent="0.3">
      <c r="A2" t="s">
        <v>7</v>
      </c>
      <c r="B2" s="2">
        <v>45835.941851550924</v>
      </c>
      <c r="C2" s="2">
        <v>45836.157414861111</v>
      </c>
      <c r="D2" t="s">
        <v>8</v>
      </c>
      <c r="E2" t="s">
        <v>9</v>
      </c>
      <c r="F2" s="2" t="s">
        <v>11</v>
      </c>
      <c r="G2" s="5">
        <f>(Table1[[#This Row],[resolution_date]]-Table1[[#This Row],[submission_date]])*24</f>
        <v>5.1735194444772787</v>
      </c>
      <c r="H2" t="str">
        <f>TEXT(Table1[[#This Row],[submission_date]],"DDDD")</f>
        <v>Friday</v>
      </c>
      <c r="I2" t="str">
        <f>TEXT(Table1[[#This Row],[submission_date]],"mmmm")</f>
        <v>June</v>
      </c>
      <c r="J2">
        <f>HOUR(Table1[[#This Row],[resolution_date]])</f>
        <v>3</v>
      </c>
      <c r="K2" t="s">
        <v>10</v>
      </c>
    </row>
    <row r="3" spans="1:14" x14ac:dyDescent="0.3">
      <c r="A3" t="s">
        <v>12</v>
      </c>
      <c r="B3" s="2">
        <v>45901.811099571758</v>
      </c>
      <c r="C3" s="2">
        <v>45903.304233009258</v>
      </c>
      <c r="D3" t="s">
        <v>13</v>
      </c>
      <c r="E3" t="s">
        <v>14</v>
      </c>
      <c r="F3" t="s">
        <v>16</v>
      </c>
      <c r="G3" s="5">
        <f>(Table1[[#This Row],[resolution_date]]-Table1[[#This Row],[submission_date]])*24</f>
        <v>35.835202499991283</v>
      </c>
      <c r="H3" t="str">
        <f>TEXT(Table1[[#This Row],[submission_date]],"DDDD")</f>
        <v>Monday</v>
      </c>
      <c r="I3" t="str">
        <f>TEXT(Table1[[#This Row],[submission_date]],"mmmm")</f>
        <v>September</v>
      </c>
      <c r="J3">
        <f>HOUR(Table1[[#This Row],[resolution_date]])</f>
        <v>7</v>
      </c>
      <c r="K3" t="s">
        <v>15</v>
      </c>
    </row>
    <row r="4" spans="1:14" x14ac:dyDescent="0.3">
      <c r="A4" t="s">
        <v>17</v>
      </c>
      <c r="B4" s="2">
        <v>45904.397251620372</v>
      </c>
      <c r="C4" s="2">
        <v>45905.993478182871</v>
      </c>
      <c r="D4" t="s">
        <v>8</v>
      </c>
      <c r="E4" t="s">
        <v>18</v>
      </c>
      <c r="F4" t="s">
        <v>16</v>
      </c>
      <c r="G4" s="5">
        <f>(Table1[[#This Row],[resolution_date]]-Table1[[#This Row],[submission_date]])*24</f>
        <v>38.309437499963678</v>
      </c>
      <c r="H4" t="str">
        <f>TEXT(Table1[[#This Row],[submission_date]],"DDDD")</f>
        <v>Thursday</v>
      </c>
      <c r="I4" t="str">
        <f>TEXT(Table1[[#This Row],[submission_date]],"mmmm")</f>
        <v>September</v>
      </c>
      <c r="J4">
        <f>HOUR(Table1[[#This Row],[resolution_date]])</f>
        <v>23</v>
      </c>
      <c r="K4" t="s">
        <v>19</v>
      </c>
    </row>
    <row r="5" spans="1:14" x14ac:dyDescent="0.3">
      <c r="A5" t="s">
        <v>20</v>
      </c>
      <c r="B5" s="2">
        <v>45866.74136521991</v>
      </c>
      <c r="C5" s="2">
        <v>45867.068278460647</v>
      </c>
      <c r="D5" t="s">
        <v>21</v>
      </c>
      <c r="E5" t="s">
        <v>22</v>
      </c>
      <c r="F5" t="s">
        <v>11</v>
      </c>
      <c r="G5" s="5">
        <f>(Table1[[#This Row],[resolution_date]]-Table1[[#This Row],[submission_date]])*24</f>
        <v>7.8459177776821889</v>
      </c>
      <c r="H5" t="str">
        <f>TEXT(Table1[[#This Row],[submission_date]],"DDDD")</f>
        <v>Monday</v>
      </c>
      <c r="I5" t="str">
        <f>TEXT(Table1[[#This Row],[submission_date]],"mmmm")</f>
        <v>July</v>
      </c>
      <c r="J5">
        <f>HOUR(Table1[[#This Row],[resolution_date]])</f>
        <v>1</v>
      </c>
      <c r="K5" t="s">
        <v>23</v>
      </c>
    </row>
    <row r="6" spans="1:14" x14ac:dyDescent="0.3">
      <c r="A6" t="s">
        <v>24</v>
      </c>
      <c r="B6" s="2">
        <v>45903.907044259257</v>
      </c>
      <c r="C6" s="2">
        <v>45904.286888356481</v>
      </c>
      <c r="D6" t="s">
        <v>13</v>
      </c>
      <c r="E6" t="s">
        <v>25</v>
      </c>
      <c r="F6" t="s">
        <v>11</v>
      </c>
      <c r="G6" s="5">
        <f>(Table1[[#This Row],[resolution_date]]-Table1[[#This Row],[submission_date]])*24</f>
        <v>9.1162583333789371</v>
      </c>
      <c r="H6" t="str">
        <f>TEXT(Table1[[#This Row],[submission_date]],"DDDD")</f>
        <v>Wednesday</v>
      </c>
      <c r="I6" t="str">
        <f>TEXT(Table1[[#This Row],[submission_date]],"mmmm")</f>
        <v>September</v>
      </c>
      <c r="J6">
        <f>HOUR(Table1[[#This Row],[resolution_date]])</f>
        <v>6</v>
      </c>
      <c r="K6" t="s">
        <v>26</v>
      </c>
    </row>
    <row r="7" spans="1:14" x14ac:dyDescent="0.3">
      <c r="A7" t="s">
        <v>27</v>
      </c>
      <c r="B7" s="2">
        <v>45873.856022060187</v>
      </c>
      <c r="C7" s="2">
        <v>45879.411592372686</v>
      </c>
      <c r="D7" t="s">
        <v>13</v>
      </c>
      <c r="E7" t="s">
        <v>18</v>
      </c>
      <c r="F7" t="s">
        <v>29</v>
      </c>
      <c r="G7" s="5">
        <f>(Table1[[#This Row],[resolution_date]]-Table1[[#This Row],[submission_date]])*24</f>
        <v>133.33368749998044</v>
      </c>
      <c r="H7" t="str">
        <f>TEXT(Table1[[#This Row],[submission_date]],"DDDD")</f>
        <v>Monday</v>
      </c>
      <c r="I7" t="str">
        <f>TEXT(Table1[[#This Row],[submission_date]],"mmmm")</f>
        <v>August</v>
      </c>
      <c r="J7">
        <f>HOUR(Table1[[#This Row],[resolution_date]])</f>
        <v>9</v>
      </c>
      <c r="K7" t="s">
        <v>28</v>
      </c>
    </row>
    <row r="8" spans="1:14" x14ac:dyDescent="0.3">
      <c r="A8" t="s">
        <v>30</v>
      </c>
      <c r="B8" s="2">
        <v>45891.443237013889</v>
      </c>
      <c r="C8" s="2">
        <v>45892.591544884257</v>
      </c>
      <c r="D8" t="s">
        <v>31</v>
      </c>
      <c r="E8" t="s">
        <v>32</v>
      </c>
      <c r="F8" t="s">
        <v>29</v>
      </c>
      <c r="G8" s="5">
        <f>(Table1[[#This Row],[resolution_date]]-Table1[[#This Row],[submission_date]])*24</f>
        <v>27.559388888825197</v>
      </c>
      <c r="H8" t="str">
        <f>TEXT(Table1[[#This Row],[submission_date]],"DDDD")</f>
        <v>Friday</v>
      </c>
      <c r="I8" t="str">
        <f>TEXT(Table1[[#This Row],[submission_date]],"mmmm")</f>
        <v>August</v>
      </c>
      <c r="J8">
        <f>HOUR(Table1[[#This Row],[resolution_date]])</f>
        <v>14</v>
      </c>
      <c r="K8" t="s">
        <v>33</v>
      </c>
    </row>
    <row r="9" spans="1:14" x14ac:dyDescent="0.3">
      <c r="A9" t="s">
        <v>34</v>
      </c>
      <c r="B9" s="2">
        <v>45843.321851516201</v>
      </c>
      <c r="C9" s="2">
        <v>45847.851614560182</v>
      </c>
      <c r="D9" t="s">
        <v>13</v>
      </c>
      <c r="E9" t="s">
        <v>35</v>
      </c>
      <c r="F9" t="s">
        <v>29</v>
      </c>
      <c r="G9" s="5">
        <f>(Table1[[#This Row],[resolution_date]]-Table1[[#This Row],[submission_date]])*24</f>
        <v>108.71431305556325</v>
      </c>
      <c r="H9" t="str">
        <f>TEXT(Table1[[#This Row],[submission_date]],"DDDD")</f>
        <v>Saturday</v>
      </c>
      <c r="I9" t="str">
        <f>TEXT(Table1[[#This Row],[submission_date]],"mmmm")</f>
        <v>July</v>
      </c>
      <c r="J9">
        <f>HOUR(Table1[[#This Row],[resolution_date]])</f>
        <v>20</v>
      </c>
      <c r="K9" t="s">
        <v>36</v>
      </c>
    </row>
    <row r="10" spans="1:14" x14ac:dyDescent="0.3">
      <c r="A10" t="s">
        <v>37</v>
      </c>
      <c r="B10" s="2">
        <v>45845.695295972226</v>
      </c>
      <c r="C10" s="2">
        <v>45846.419769224536</v>
      </c>
      <c r="D10" t="s">
        <v>21</v>
      </c>
      <c r="E10" t="s">
        <v>35</v>
      </c>
      <c r="F10" t="s">
        <v>16</v>
      </c>
      <c r="G10" s="5">
        <f>(Table1[[#This Row],[resolution_date]]-Table1[[#This Row],[submission_date]])*24</f>
        <v>17.387358055450022</v>
      </c>
      <c r="H10" t="str">
        <f>TEXT(Table1[[#This Row],[submission_date]],"DDDD")</f>
        <v>Monday</v>
      </c>
      <c r="I10" t="str">
        <f>TEXT(Table1[[#This Row],[submission_date]],"mmmm")</f>
        <v>July</v>
      </c>
      <c r="J10">
        <f>HOUR(Table1[[#This Row],[resolution_date]])</f>
        <v>10</v>
      </c>
      <c r="K10" t="s">
        <v>38</v>
      </c>
    </row>
    <row r="11" spans="1:14" x14ac:dyDescent="0.3">
      <c r="A11" t="s">
        <v>39</v>
      </c>
      <c r="B11" s="2">
        <v>45910.617740428243</v>
      </c>
      <c r="C11" s="2">
        <v>45911.83237329861</v>
      </c>
      <c r="D11" t="s">
        <v>13</v>
      </c>
      <c r="E11" t="s">
        <v>18</v>
      </c>
      <c r="F11" t="s">
        <v>16</v>
      </c>
      <c r="G11" s="5">
        <f>(Table1[[#This Row],[resolution_date]]-Table1[[#This Row],[submission_date]])*24</f>
        <v>29.151188888819888</v>
      </c>
      <c r="H11" t="str">
        <f>TEXT(Table1[[#This Row],[submission_date]],"DDDD")</f>
        <v>Wednesday</v>
      </c>
      <c r="I11" t="str">
        <f>TEXT(Table1[[#This Row],[submission_date]],"mmmm")</f>
        <v>September</v>
      </c>
      <c r="J11">
        <f>HOUR(Table1[[#This Row],[resolution_date]])</f>
        <v>19</v>
      </c>
      <c r="K11" t="s">
        <v>40</v>
      </c>
    </row>
    <row r="12" spans="1:14" x14ac:dyDescent="0.3">
      <c r="A12" t="s">
        <v>41</v>
      </c>
      <c r="B12" s="2">
        <v>45896.555576689818</v>
      </c>
      <c r="C12" s="2">
        <v>45902.686473993053</v>
      </c>
      <c r="D12" t="s">
        <v>13</v>
      </c>
      <c r="E12" t="s">
        <v>42</v>
      </c>
      <c r="F12" t="s">
        <v>29</v>
      </c>
      <c r="G12" s="5">
        <f>(Table1[[#This Row],[resolution_date]]-Table1[[#This Row],[submission_date]])*24</f>
        <v>147.14153527765302</v>
      </c>
      <c r="H12" t="str">
        <f>TEXT(Table1[[#This Row],[submission_date]],"DDDD")</f>
        <v>Wednesday</v>
      </c>
      <c r="I12" t="str">
        <f>TEXT(Table1[[#This Row],[submission_date]],"mmmm")</f>
        <v>August</v>
      </c>
      <c r="J12">
        <f>HOUR(Table1[[#This Row],[resolution_date]])</f>
        <v>16</v>
      </c>
      <c r="K12" t="s">
        <v>43</v>
      </c>
    </row>
    <row r="13" spans="1:14" x14ac:dyDescent="0.3">
      <c r="A13" t="s">
        <v>44</v>
      </c>
      <c r="B13" s="2">
        <v>45832.080772222223</v>
      </c>
      <c r="C13" s="2">
        <v>45832.240656608796</v>
      </c>
      <c r="D13" t="s">
        <v>45</v>
      </c>
      <c r="E13" t="s">
        <v>46</v>
      </c>
      <c r="F13" t="s">
        <v>11</v>
      </c>
      <c r="G13" s="5">
        <f>(Table1[[#This Row],[resolution_date]]-Table1[[#This Row],[submission_date]])*24</f>
        <v>3.8372252777335234</v>
      </c>
      <c r="H13" t="str">
        <f>TEXT(Table1[[#This Row],[submission_date]],"DDDD")</f>
        <v>Tuesday</v>
      </c>
      <c r="I13" t="str">
        <f>TEXT(Table1[[#This Row],[submission_date]],"mmmm")</f>
        <v>June</v>
      </c>
      <c r="J13">
        <f>HOUR(Table1[[#This Row],[resolution_date]])</f>
        <v>5</v>
      </c>
      <c r="K13" t="s">
        <v>47</v>
      </c>
    </row>
    <row r="14" spans="1:14" x14ac:dyDescent="0.3">
      <c r="A14" t="s">
        <v>48</v>
      </c>
      <c r="B14" s="2">
        <v>45836.410961250003</v>
      </c>
      <c r="C14" s="2">
        <v>45837.124087824071</v>
      </c>
      <c r="D14" t="s">
        <v>45</v>
      </c>
      <c r="E14" t="s">
        <v>9</v>
      </c>
      <c r="F14" t="s">
        <v>16</v>
      </c>
      <c r="G14" s="5">
        <f>(Table1[[#This Row],[resolution_date]]-Table1[[#This Row],[submission_date]])*24</f>
        <v>17.115037777635735</v>
      </c>
      <c r="H14" t="str">
        <f>TEXT(Table1[[#This Row],[submission_date]],"DDDD")</f>
        <v>Saturday</v>
      </c>
      <c r="I14" t="str">
        <f>TEXT(Table1[[#This Row],[submission_date]],"mmmm")</f>
        <v>June</v>
      </c>
      <c r="J14">
        <f>HOUR(Table1[[#This Row],[resolution_date]])</f>
        <v>2</v>
      </c>
      <c r="K14" t="s">
        <v>49</v>
      </c>
    </row>
    <row r="15" spans="1:14" x14ac:dyDescent="0.3">
      <c r="A15" t="s">
        <v>50</v>
      </c>
      <c r="B15" s="2">
        <v>45860.381175960647</v>
      </c>
      <c r="C15" s="2">
        <v>45864.663007314812</v>
      </c>
      <c r="D15" t="s">
        <v>13</v>
      </c>
      <c r="E15" t="s">
        <v>35</v>
      </c>
      <c r="F15" t="s">
        <v>29</v>
      </c>
      <c r="G15" s="5">
        <f>(Table1[[#This Row],[resolution_date]]-Table1[[#This Row],[submission_date]])*24</f>
        <v>102.76395249995403</v>
      </c>
      <c r="H15" t="str">
        <f>TEXT(Table1[[#This Row],[submission_date]],"DDDD")</f>
        <v>Tuesday</v>
      </c>
      <c r="I15" t="str">
        <f>TEXT(Table1[[#This Row],[submission_date]],"mmmm")</f>
        <v>July</v>
      </c>
      <c r="J15">
        <f>HOUR(Table1[[#This Row],[resolution_date]])</f>
        <v>15</v>
      </c>
      <c r="K15" t="s">
        <v>51</v>
      </c>
      <c r="M15" t="s">
        <v>342</v>
      </c>
      <c r="N15">
        <f>COUNTIF(Table1[description],"*Application X*")</f>
        <v>50</v>
      </c>
    </row>
    <row r="16" spans="1:14" x14ac:dyDescent="0.3">
      <c r="A16" t="s">
        <v>52</v>
      </c>
      <c r="B16" s="2">
        <v>45847.939561203704</v>
      </c>
      <c r="C16" s="2">
        <v>45848.049673634261</v>
      </c>
      <c r="D16" t="s">
        <v>13</v>
      </c>
      <c r="E16" t="s">
        <v>14</v>
      </c>
      <c r="F16" t="s">
        <v>11</v>
      </c>
      <c r="G16" s="5">
        <f>(Table1[[#This Row],[resolution_date]]-Table1[[#This Row],[submission_date]])*24</f>
        <v>2.6426983333658427</v>
      </c>
      <c r="H16" t="str">
        <f>TEXT(Table1[[#This Row],[submission_date]],"DDDD")</f>
        <v>Wednesday</v>
      </c>
      <c r="I16" t="str">
        <f>TEXT(Table1[[#This Row],[submission_date]],"mmmm")</f>
        <v>July</v>
      </c>
      <c r="J16">
        <f>HOUR(Table1[[#This Row],[resolution_date]])</f>
        <v>1</v>
      </c>
      <c r="K16" t="s">
        <v>53</v>
      </c>
      <c r="M16" t="s">
        <v>343</v>
      </c>
      <c r="N16">
        <f>COUNTIF(Table1[description],"*No internet access*")</f>
        <v>23</v>
      </c>
    </row>
    <row r="17" spans="1:14" x14ac:dyDescent="0.3">
      <c r="A17" t="s">
        <v>54</v>
      </c>
      <c r="B17" s="2">
        <v>45861.940402638887</v>
      </c>
      <c r="C17" s="2">
        <v>45862.05557290509</v>
      </c>
      <c r="D17" t="s">
        <v>13</v>
      </c>
      <c r="E17" t="s">
        <v>55</v>
      </c>
      <c r="F17" t="s">
        <v>11</v>
      </c>
      <c r="G17" s="5">
        <f>(Table1[[#This Row],[resolution_date]]-Table1[[#This Row],[submission_date]])*24</f>
        <v>2.7640863888664171</v>
      </c>
      <c r="H17" t="str">
        <f>TEXT(Table1[[#This Row],[submission_date]],"DDDD")</f>
        <v>Wednesday</v>
      </c>
      <c r="I17" t="str">
        <f>TEXT(Table1[[#This Row],[submission_date]],"mmmm")</f>
        <v>July</v>
      </c>
      <c r="J17">
        <f>HOUR(Table1[[#This Row],[resolution_date]])</f>
        <v>1</v>
      </c>
      <c r="K17" t="s">
        <v>176</v>
      </c>
      <c r="M17" t="s">
        <v>344</v>
      </c>
      <c r="N17">
        <f>COUNTIF(Table1[description],"*password*")</f>
        <v>15</v>
      </c>
    </row>
    <row r="18" spans="1:14" x14ac:dyDescent="0.3">
      <c r="A18" t="s">
        <v>56</v>
      </c>
      <c r="B18" s="2">
        <v>45875.49450458333</v>
      </c>
      <c r="C18" s="2">
        <v>45880.346445115742</v>
      </c>
      <c r="D18" t="s">
        <v>13</v>
      </c>
      <c r="E18" t="s">
        <v>35</v>
      </c>
      <c r="F18" t="s">
        <v>29</v>
      </c>
      <c r="G18" s="5">
        <f>(Table1[[#This Row],[resolution_date]]-Table1[[#This Row],[submission_date]])*24</f>
        <v>116.44657277787337</v>
      </c>
      <c r="H18" t="str">
        <f>TEXT(Table1[[#This Row],[submission_date]],"DDDD")</f>
        <v>Wednesday</v>
      </c>
      <c r="I18" t="str">
        <f>TEXT(Table1[[#This Row],[submission_date]],"mmmm")</f>
        <v>August</v>
      </c>
      <c r="J18">
        <f>HOUR(Table1[[#This Row],[resolution_date]])</f>
        <v>8</v>
      </c>
      <c r="K18" t="s">
        <v>57</v>
      </c>
      <c r="M18" t="s">
        <v>345</v>
      </c>
      <c r="N18">
        <f>COUNTIF(Table1[description],"*Laptop*")</f>
        <v>24</v>
      </c>
    </row>
    <row r="19" spans="1:14" x14ac:dyDescent="0.3">
      <c r="A19" t="s">
        <v>58</v>
      </c>
      <c r="B19" s="2">
        <v>45838.695992071756</v>
      </c>
      <c r="C19" s="2">
        <v>45840.859242071761</v>
      </c>
      <c r="D19" t="s">
        <v>59</v>
      </c>
      <c r="E19" t="s">
        <v>9</v>
      </c>
      <c r="F19" t="s">
        <v>29</v>
      </c>
      <c r="G19" s="5">
        <f>(Table1[[#This Row],[resolution_date]]-Table1[[#This Row],[submission_date]])*24</f>
        <v>51.918000000121538</v>
      </c>
      <c r="H19" t="str">
        <f>TEXT(Table1[[#This Row],[submission_date]],"DDDD")</f>
        <v>Monday</v>
      </c>
      <c r="I19" t="str">
        <f>TEXT(Table1[[#This Row],[submission_date]],"mmmm")</f>
        <v>June</v>
      </c>
      <c r="J19">
        <f>HOUR(Table1[[#This Row],[resolution_date]])</f>
        <v>20</v>
      </c>
      <c r="K19" t="s">
        <v>60</v>
      </c>
    </row>
    <row r="20" spans="1:14" x14ac:dyDescent="0.3">
      <c r="A20" t="s">
        <v>61</v>
      </c>
      <c r="B20" s="2">
        <v>45838.960468067133</v>
      </c>
      <c r="C20" s="2">
        <v>45842.491957118058</v>
      </c>
      <c r="D20" t="s">
        <v>45</v>
      </c>
      <c r="E20" t="s">
        <v>22</v>
      </c>
      <c r="F20" t="s">
        <v>29</v>
      </c>
      <c r="G20" s="5">
        <f>(Table1[[#This Row],[resolution_date]]-Table1[[#This Row],[submission_date]])*24</f>
        <v>84.755737222207244</v>
      </c>
      <c r="H20" t="str">
        <f>TEXT(Table1[[#This Row],[submission_date]],"DDDD")</f>
        <v>Monday</v>
      </c>
      <c r="I20" t="str">
        <f>TEXT(Table1[[#This Row],[submission_date]],"mmmm")</f>
        <v>June</v>
      </c>
      <c r="J20">
        <f>HOUR(Table1[[#This Row],[resolution_date]])</f>
        <v>11</v>
      </c>
      <c r="K20" t="s">
        <v>62</v>
      </c>
    </row>
    <row r="21" spans="1:14" x14ac:dyDescent="0.3">
      <c r="A21" t="s">
        <v>63</v>
      </c>
      <c r="B21" s="2">
        <v>45841.310591307869</v>
      </c>
      <c r="C21" s="2">
        <v>45842.999058043984</v>
      </c>
      <c r="D21" t="s">
        <v>21</v>
      </c>
      <c r="E21" t="s">
        <v>22</v>
      </c>
      <c r="F21" t="s">
        <v>16</v>
      </c>
      <c r="G21" s="5">
        <f>(Table1[[#This Row],[resolution_date]]-Table1[[#This Row],[submission_date]])*24</f>
        <v>40.523201666772366</v>
      </c>
      <c r="H21" t="str">
        <f>TEXT(Table1[[#This Row],[submission_date]],"DDDD")</f>
        <v>Thursday</v>
      </c>
      <c r="I21" t="str">
        <f>TEXT(Table1[[#This Row],[submission_date]],"mmmm")</f>
        <v>July</v>
      </c>
      <c r="J21">
        <f>HOUR(Table1[[#This Row],[resolution_date]])</f>
        <v>23</v>
      </c>
      <c r="K21" t="s">
        <v>64</v>
      </c>
    </row>
    <row r="22" spans="1:14" x14ac:dyDescent="0.3">
      <c r="A22" t="s">
        <v>65</v>
      </c>
      <c r="B22" s="2">
        <v>45831.951130162037</v>
      </c>
      <c r="C22" s="2">
        <v>45833.462965312501</v>
      </c>
      <c r="D22" t="s">
        <v>13</v>
      </c>
      <c r="E22" t="s">
        <v>14</v>
      </c>
      <c r="F22" t="s">
        <v>16</v>
      </c>
      <c r="G22" s="5">
        <f>(Table1[[#This Row],[resolution_date]]-Table1[[#This Row],[submission_date]])*24</f>
        <v>36.284043611143716</v>
      </c>
      <c r="H22" t="str">
        <f>TEXT(Table1[[#This Row],[submission_date]],"DDDD")</f>
        <v>Monday</v>
      </c>
      <c r="I22" t="str">
        <f>TEXT(Table1[[#This Row],[submission_date]],"mmmm")</f>
        <v>June</v>
      </c>
      <c r="J22">
        <f>HOUR(Table1[[#This Row],[resolution_date]])</f>
        <v>11</v>
      </c>
      <c r="K22" t="s">
        <v>66</v>
      </c>
    </row>
    <row r="23" spans="1:14" x14ac:dyDescent="0.3">
      <c r="A23" t="s">
        <v>67</v>
      </c>
      <c r="B23" s="2">
        <v>45846.482601527779</v>
      </c>
      <c r="C23" s="2">
        <v>45848.392504687501</v>
      </c>
      <c r="D23" t="s">
        <v>13</v>
      </c>
      <c r="E23" t="s">
        <v>9</v>
      </c>
      <c r="F23" t="s">
        <v>16</v>
      </c>
      <c r="G23" s="5">
        <f>(Table1[[#This Row],[resolution_date]]-Table1[[#This Row],[submission_date]])*24</f>
        <v>45.837675833317917</v>
      </c>
      <c r="H23" t="str">
        <f>TEXT(Table1[[#This Row],[submission_date]],"DDDD")</f>
        <v>Tuesday</v>
      </c>
      <c r="I23" t="str">
        <f>TEXT(Table1[[#This Row],[submission_date]],"mmmm")</f>
        <v>July</v>
      </c>
      <c r="J23">
        <f>HOUR(Table1[[#This Row],[resolution_date]])</f>
        <v>9</v>
      </c>
      <c r="K23" t="s">
        <v>68</v>
      </c>
    </row>
    <row r="24" spans="1:14" x14ac:dyDescent="0.3">
      <c r="A24" t="s">
        <v>69</v>
      </c>
      <c r="B24" s="2">
        <v>45830.978999976855</v>
      </c>
      <c r="C24" s="2">
        <v>45831.690442743056</v>
      </c>
      <c r="D24" t="s">
        <v>13</v>
      </c>
      <c r="E24" t="s">
        <v>42</v>
      </c>
      <c r="F24" t="s">
        <v>16</v>
      </c>
      <c r="G24" s="5">
        <f>(Table1[[#This Row],[resolution_date]]-Table1[[#This Row],[submission_date]])*24</f>
        <v>17.074626388843171</v>
      </c>
      <c r="H24" t="str">
        <f>TEXT(Table1[[#This Row],[submission_date]],"DDDD")</f>
        <v>Sunday</v>
      </c>
      <c r="I24" t="str">
        <f>TEXT(Table1[[#This Row],[submission_date]],"mmmm")</f>
        <v>June</v>
      </c>
      <c r="J24">
        <f>HOUR(Table1[[#This Row],[resolution_date]])</f>
        <v>16</v>
      </c>
      <c r="K24" t="s">
        <v>70</v>
      </c>
    </row>
    <row r="25" spans="1:14" x14ac:dyDescent="0.3">
      <c r="A25" t="s">
        <v>71</v>
      </c>
      <c r="B25" s="2">
        <v>45898.519360115744</v>
      </c>
      <c r="C25" s="2">
        <v>45900.18315665509</v>
      </c>
      <c r="D25" t="s">
        <v>13</v>
      </c>
      <c r="E25" t="s">
        <v>25</v>
      </c>
      <c r="F25" t="s">
        <v>16</v>
      </c>
      <c r="G25" s="5">
        <f>(Table1[[#This Row],[resolution_date]]-Table1[[#This Row],[submission_date]])*24</f>
        <v>39.931116944295354</v>
      </c>
      <c r="H25" t="str">
        <f>TEXT(Table1[[#This Row],[submission_date]],"DDDD")</f>
        <v>Friday</v>
      </c>
      <c r="I25" t="str">
        <f>TEXT(Table1[[#This Row],[submission_date]],"mmmm")</f>
        <v>August</v>
      </c>
      <c r="J25">
        <f>HOUR(Table1[[#This Row],[resolution_date]])</f>
        <v>4</v>
      </c>
      <c r="K25" t="s">
        <v>72</v>
      </c>
    </row>
    <row r="26" spans="1:14" x14ac:dyDescent="0.3">
      <c r="A26" t="s">
        <v>73</v>
      </c>
      <c r="B26" s="2">
        <v>45850.151124652781</v>
      </c>
      <c r="C26" s="2">
        <v>45854.404572488427</v>
      </c>
      <c r="D26" t="s">
        <v>45</v>
      </c>
      <c r="E26" t="s">
        <v>22</v>
      </c>
      <c r="F26" t="s">
        <v>29</v>
      </c>
      <c r="G26" s="5">
        <f>(Table1[[#This Row],[resolution_date]]-Table1[[#This Row],[submission_date]])*24</f>
        <v>102.08274805551628</v>
      </c>
      <c r="H26" t="str">
        <f>TEXT(Table1[[#This Row],[submission_date]],"DDDD")</f>
        <v>Saturday</v>
      </c>
      <c r="I26" t="str">
        <f>TEXT(Table1[[#This Row],[submission_date]],"mmmm")</f>
        <v>July</v>
      </c>
      <c r="J26">
        <f>HOUR(Table1[[#This Row],[resolution_date]])</f>
        <v>9</v>
      </c>
      <c r="K26" t="s">
        <v>74</v>
      </c>
    </row>
    <row r="27" spans="1:14" x14ac:dyDescent="0.3">
      <c r="A27" t="s">
        <v>75</v>
      </c>
      <c r="B27" s="2">
        <v>45851.238076643516</v>
      </c>
      <c r="C27" s="2">
        <v>45852.816654155089</v>
      </c>
      <c r="D27" t="s">
        <v>13</v>
      </c>
      <c r="E27" t="s">
        <v>14</v>
      </c>
      <c r="F27" t="s">
        <v>16</v>
      </c>
      <c r="G27" s="5">
        <f>(Table1[[#This Row],[resolution_date]]-Table1[[#This Row],[submission_date]])*24</f>
        <v>37.88586027774727</v>
      </c>
      <c r="H27" t="str">
        <f>TEXT(Table1[[#This Row],[submission_date]],"DDDD")</f>
        <v>Sunday</v>
      </c>
      <c r="I27" t="str">
        <f>TEXT(Table1[[#This Row],[submission_date]],"mmmm")</f>
        <v>July</v>
      </c>
      <c r="J27">
        <f>HOUR(Table1[[#This Row],[resolution_date]])</f>
        <v>19</v>
      </c>
      <c r="K27" t="s">
        <v>76</v>
      </c>
    </row>
    <row r="28" spans="1:14" x14ac:dyDescent="0.3">
      <c r="A28" t="s">
        <v>77</v>
      </c>
      <c r="B28" s="2">
        <v>45832.01864923611</v>
      </c>
      <c r="C28" s="2">
        <v>45832.510323969909</v>
      </c>
      <c r="D28" t="s">
        <v>45</v>
      </c>
      <c r="E28" t="s">
        <v>25</v>
      </c>
      <c r="F28" t="s">
        <v>11</v>
      </c>
      <c r="G28" s="5">
        <f>(Table1[[#This Row],[resolution_date]]-Table1[[#This Row],[submission_date]])*24</f>
        <v>11.800193611183204</v>
      </c>
      <c r="H28" t="str">
        <f>TEXT(Table1[[#This Row],[submission_date]],"DDDD")</f>
        <v>Tuesday</v>
      </c>
      <c r="I28" t="str">
        <f>TEXT(Table1[[#This Row],[submission_date]],"mmmm")</f>
        <v>June</v>
      </c>
      <c r="J28">
        <f>HOUR(Table1[[#This Row],[resolution_date]])</f>
        <v>12</v>
      </c>
      <c r="K28" t="s">
        <v>78</v>
      </c>
    </row>
    <row r="29" spans="1:14" x14ac:dyDescent="0.3">
      <c r="A29" t="s">
        <v>79</v>
      </c>
      <c r="B29" s="2">
        <v>45841.81186765046</v>
      </c>
      <c r="C29" s="2">
        <v>45843.718911377313</v>
      </c>
      <c r="D29" t="s">
        <v>80</v>
      </c>
      <c r="E29" t="s">
        <v>14</v>
      </c>
      <c r="F29" t="s">
        <v>16</v>
      </c>
      <c r="G29" s="5">
        <f>(Table1[[#This Row],[resolution_date]]-Table1[[#This Row],[submission_date]])*24</f>
        <v>45.769049444468692</v>
      </c>
      <c r="H29" t="str">
        <f>TEXT(Table1[[#This Row],[submission_date]],"DDDD")</f>
        <v>Thursday</v>
      </c>
      <c r="I29" t="str">
        <f>TEXT(Table1[[#This Row],[submission_date]],"mmmm")</f>
        <v>July</v>
      </c>
      <c r="J29">
        <f>HOUR(Table1[[#This Row],[resolution_date]])</f>
        <v>17</v>
      </c>
      <c r="K29" t="s">
        <v>81</v>
      </c>
    </row>
    <row r="30" spans="1:14" x14ac:dyDescent="0.3">
      <c r="A30" t="s">
        <v>82</v>
      </c>
      <c r="B30" s="2">
        <v>45915.543717083332</v>
      </c>
      <c r="C30" s="2">
        <v>45917.331455462961</v>
      </c>
      <c r="D30" t="s">
        <v>8</v>
      </c>
      <c r="E30" t="s">
        <v>9</v>
      </c>
      <c r="F30" t="s">
        <v>29</v>
      </c>
      <c r="G30" s="5">
        <f>(Table1[[#This Row],[resolution_date]]-Table1[[#This Row],[submission_date]])*24</f>
        <v>42.905721111106686</v>
      </c>
      <c r="H30" t="str">
        <f>TEXT(Table1[[#This Row],[submission_date]],"DDDD")</f>
        <v>Monday</v>
      </c>
      <c r="I30" t="str">
        <f>TEXT(Table1[[#This Row],[submission_date]],"mmmm")</f>
        <v>September</v>
      </c>
      <c r="J30">
        <f>HOUR(Table1[[#This Row],[resolution_date]])</f>
        <v>7</v>
      </c>
      <c r="K30" t="s">
        <v>83</v>
      </c>
    </row>
    <row r="31" spans="1:14" x14ac:dyDescent="0.3">
      <c r="A31" t="s">
        <v>84</v>
      </c>
      <c r="B31" s="2">
        <v>45896.914734548613</v>
      </c>
      <c r="C31" s="2">
        <v>45898.277047488424</v>
      </c>
      <c r="D31" t="s">
        <v>13</v>
      </c>
      <c r="E31" t="s">
        <v>18</v>
      </c>
      <c r="F31" t="s">
        <v>16</v>
      </c>
      <c r="G31" s="5">
        <f>(Table1[[#This Row],[resolution_date]]-Table1[[#This Row],[submission_date]])*24</f>
        <v>32.695510555466171</v>
      </c>
      <c r="H31" t="str">
        <f>TEXT(Table1[[#This Row],[submission_date]],"DDDD")</f>
        <v>Wednesday</v>
      </c>
      <c r="I31" t="str">
        <f>TEXT(Table1[[#This Row],[submission_date]],"mmmm")</f>
        <v>August</v>
      </c>
      <c r="J31">
        <f>HOUR(Table1[[#This Row],[resolution_date]])</f>
        <v>6</v>
      </c>
      <c r="K31" t="s">
        <v>85</v>
      </c>
    </row>
    <row r="32" spans="1:14" x14ac:dyDescent="0.3">
      <c r="A32" t="s">
        <v>86</v>
      </c>
      <c r="B32" s="2">
        <v>45899.845190624997</v>
      </c>
      <c r="C32" s="2">
        <v>45906.109850624998</v>
      </c>
      <c r="D32" t="s">
        <v>45</v>
      </c>
      <c r="E32" t="s">
        <v>18</v>
      </c>
      <c r="F32" t="s">
        <v>29</v>
      </c>
      <c r="G32" s="5">
        <f>(Table1[[#This Row],[resolution_date]]-Table1[[#This Row],[submission_date]])*24</f>
        <v>150.35184000001755</v>
      </c>
      <c r="H32" t="str">
        <f>TEXT(Table1[[#This Row],[submission_date]],"DDDD")</f>
        <v>Saturday</v>
      </c>
      <c r="I32" t="str">
        <f>TEXT(Table1[[#This Row],[submission_date]],"mmmm")</f>
        <v>August</v>
      </c>
      <c r="J32">
        <f>HOUR(Table1[[#This Row],[resolution_date]])</f>
        <v>2</v>
      </c>
      <c r="K32" t="s">
        <v>87</v>
      </c>
    </row>
    <row r="33" spans="1:11" x14ac:dyDescent="0.3">
      <c r="A33" t="s">
        <v>88</v>
      </c>
      <c r="B33" s="2">
        <v>45893.999277337964</v>
      </c>
      <c r="C33" s="2">
        <v>45894.316192916667</v>
      </c>
      <c r="D33" t="s">
        <v>13</v>
      </c>
      <c r="E33" t="s">
        <v>14</v>
      </c>
      <c r="F33" t="s">
        <v>11</v>
      </c>
      <c r="G33" s="5">
        <f>(Table1[[#This Row],[resolution_date]]-Table1[[#This Row],[submission_date]])*24</f>
        <v>7.6059738888870925</v>
      </c>
      <c r="H33" t="str">
        <f>TEXT(Table1[[#This Row],[submission_date]],"DDDD")</f>
        <v>Sunday</v>
      </c>
      <c r="I33" t="str">
        <f>TEXT(Table1[[#This Row],[submission_date]],"mmmm")</f>
        <v>August</v>
      </c>
      <c r="J33">
        <f>HOUR(Table1[[#This Row],[resolution_date]])</f>
        <v>7</v>
      </c>
      <c r="K33" t="s">
        <v>89</v>
      </c>
    </row>
    <row r="34" spans="1:11" x14ac:dyDescent="0.3">
      <c r="A34" t="s">
        <v>90</v>
      </c>
      <c r="B34" s="2">
        <v>45849.75739244213</v>
      </c>
      <c r="C34" s="2">
        <v>45855.27821527778</v>
      </c>
      <c r="D34" t="s">
        <v>45</v>
      </c>
      <c r="E34" t="s">
        <v>35</v>
      </c>
      <c r="F34" t="s">
        <v>29</v>
      </c>
      <c r="G34" s="5">
        <f>(Table1[[#This Row],[resolution_date]]-Table1[[#This Row],[submission_date]])*24</f>
        <v>132.49974805559032</v>
      </c>
      <c r="H34" t="str">
        <f>TEXT(Table1[[#This Row],[submission_date]],"DDDD")</f>
        <v>Friday</v>
      </c>
      <c r="I34" t="str">
        <f>TEXT(Table1[[#This Row],[submission_date]],"mmmm")</f>
        <v>July</v>
      </c>
      <c r="J34">
        <f>HOUR(Table1[[#This Row],[resolution_date]])</f>
        <v>6</v>
      </c>
      <c r="K34" t="s">
        <v>91</v>
      </c>
    </row>
    <row r="35" spans="1:11" x14ac:dyDescent="0.3">
      <c r="A35" t="s">
        <v>92</v>
      </c>
      <c r="B35" s="2">
        <v>45904.814613437498</v>
      </c>
      <c r="C35" s="2">
        <v>45910.228323379626</v>
      </c>
      <c r="D35" t="s">
        <v>80</v>
      </c>
      <c r="E35" t="s">
        <v>32</v>
      </c>
      <c r="F35" t="s">
        <v>29</v>
      </c>
      <c r="G35" s="5">
        <f>(Table1[[#This Row],[resolution_date]]-Table1[[#This Row],[submission_date]])*24</f>
        <v>129.92903861106606</v>
      </c>
      <c r="H35" t="str">
        <f>TEXT(Table1[[#This Row],[submission_date]],"DDDD")</f>
        <v>Thursday</v>
      </c>
      <c r="I35" t="str">
        <f>TEXT(Table1[[#This Row],[submission_date]],"mmmm")</f>
        <v>September</v>
      </c>
      <c r="J35">
        <f>HOUR(Table1[[#This Row],[resolution_date]])</f>
        <v>5</v>
      </c>
      <c r="K35" t="s">
        <v>93</v>
      </c>
    </row>
    <row r="36" spans="1:11" x14ac:dyDescent="0.3">
      <c r="A36" t="s">
        <v>94</v>
      </c>
      <c r="B36" s="2">
        <v>45893.712596354169</v>
      </c>
      <c r="C36" s="2">
        <v>45899.821769236114</v>
      </c>
      <c r="D36" t="s">
        <v>13</v>
      </c>
      <c r="E36" t="s">
        <v>25</v>
      </c>
      <c r="F36" t="s">
        <v>29</v>
      </c>
      <c r="G36" s="5">
        <f>(Table1[[#This Row],[resolution_date]]-Table1[[#This Row],[submission_date]])*24</f>
        <v>146.62014916667249</v>
      </c>
      <c r="H36" t="str">
        <f>TEXT(Table1[[#This Row],[submission_date]],"DDDD")</f>
        <v>Sunday</v>
      </c>
      <c r="I36" t="str">
        <f>TEXT(Table1[[#This Row],[submission_date]],"mmmm")</f>
        <v>August</v>
      </c>
      <c r="J36">
        <f>HOUR(Table1[[#This Row],[resolution_date]])</f>
        <v>19</v>
      </c>
      <c r="K36" t="s">
        <v>95</v>
      </c>
    </row>
    <row r="37" spans="1:11" x14ac:dyDescent="0.3">
      <c r="A37" t="s">
        <v>96</v>
      </c>
      <c r="B37" s="2">
        <v>45838.741699282407</v>
      </c>
      <c r="C37" s="2">
        <v>45839.817210752313</v>
      </c>
      <c r="D37" t="s">
        <v>21</v>
      </c>
      <c r="E37" t="s">
        <v>14</v>
      </c>
      <c r="F37" t="s">
        <v>29</v>
      </c>
      <c r="G37" s="5">
        <f>(Table1[[#This Row],[resolution_date]]-Table1[[#This Row],[submission_date]])*24</f>
        <v>25.812275277741719</v>
      </c>
      <c r="H37" t="str">
        <f>TEXT(Table1[[#This Row],[submission_date]],"DDDD")</f>
        <v>Monday</v>
      </c>
      <c r="I37" t="str">
        <f>TEXT(Table1[[#This Row],[submission_date]],"mmmm")</f>
        <v>June</v>
      </c>
      <c r="J37">
        <f>HOUR(Table1[[#This Row],[resolution_date]])</f>
        <v>19</v>
      </c>
      <c r="K37" t="s">
        <v>97</v>
      </c>
    </row>
    <row r="38" spans="1:11" x14ac:dyDescent="0.3">
      <c r="A38" t="s">
        <v>98</v>
      </c>
      <c r="B38" s="2">
        <v>45909.36557869213</v>
      </c>
      <c r="C38" s="2">
        <v>45913.263069328706</v>
      </c>
      <c r="D38" t="s">
        <v>13</v>
      </c>
      <c r="E38" t="s">
        <v>46</v>
      </c>
      <c r="F38" t="s">
        <v>29</v>
      </c>
      <c r="G38" s="5">
        <f>(Table1[[#This Row],[resolution_date]]-Table1[[#This Row],[submission_date]])*24</f>
        <v>93.53977527783718</v>
      </c>
      <c r="H38" t="str">
        <f>TEXT(Table1[[#This Row],[submission_date]],"DDDD")</f>
        <v>Tuesday</v>
      </c>
      <c r="I38" t="str">
        <f>TEXT(Table1[[#This Row],[submission_date]],"mmmm")</f>
        <v>September</v>
      </c>
      <c r="J38">
        <f>HOUR(Table1[[#This Row],[resolution_date]])</f>
        <v>6</v>
      </c>
      <c r="K38" t="s">
        <v>99</v>
      </c>
    </row>
    <row r="39" spans="1:11" x14ac:dyDescent="0.3">
      <c r="A39" t="s">
        <v>100</v>
      </c>
      <c r="B39" s="2">
        <v>45880.455971180556</v>
      </c>
      <c r="C39" s="2">
        <v>45886.671748993052</v>
      </c>
      <c r="D39" t="s">
        <v>8</v>
      </c>
      <c r="E39" t="s">
        <v>42</v>
      </c>
      <c r="F39" t="s">
        <v>29</v>
      </c>
      <c r="G39" s="5">
        <f>(Table1[[#This Row],[resolution_date]]-Table1[[#This Row],[submission_date]])*24</f>
        <v>149.17866749991663</v>
      </c>
      <c r="H39" t="str">
        <f>TEXT(Table1[[#This Row],[submission_date]],"DDDD")</f>
        <v>Monday</v>
      </c>
      <c r="I39" t="str">
        <f>TEXT(Table1[[#This Row],[submission_date]],"mmmm")</f>
        <v>August</v>
      </c>
      <c r="J39">
        <f>HOUR(Table1[[#This Row],[resolution_date]])</f>
        <v>16</v>
      </c>
      <c r="K39" t="s">
        <v>101</v>
      </c>
    </row>
    <row r="40" spans="1:11" x14ac:dyDescent="0.3">
      <c r="A40" t="s">
        <v>102</v>
      </c>
      <c r="B40" s="2">
        <v>45901.680695057868</v>
      </c>
      <c r="C40" s="2">
        <v>45902.113242870371</v>
      </c>
      <c r="D40" t="s">
        <v>13</v>
      </c>
      <c r="E40" t="s">
        <v>32</v>
      </c>
      <c r="F40" t="s">
        <v>16</v>
      </c>
      <c r="G40" s="5">
        <f>(Table1[[#This Row],[resolution_date]]-Table1[[#This Row],[submission_date]])*24</f>
        <v>10.381147500069346</v>
      </c>
      <c r="H40" t="str">
        <f>TEXT(Table1[[#This Row],[submission_date]],"DDDD")</f>
        <v>Monday</v>
      </c>
      <c r="I40" t="str">
        <f>TEXT(Table1[[#This Row],[submission_date]],"mmmm")</f>
        <v>September</v>
      </c>
      <c r="J40">
        <f>HOUR(Table1[[#This Row],[resolution_date]])</f>
        <v>2</v>
      </c>
      <c r="K40" t="s">
        <v>103</v>
      </c>
    </row>
    <row r="41" spans="1:11" x14ac:dyDescent="0.3">
      <c r="A41" t="s">
        <v>104</v>
      </c>
      <c r="B41" s="2">
        <v>45883.854248391202</v>
      </c>
      <c r="C41" s="2">
        <v>45884.364103043983</v>
      </c>
      <c r="D41" t="s">
        <v>31</v>
      </c>
      <c r="E41" t="s">
        <v>35</v>
      </c>
      <c r="F41" t="s">
        <v>16</v>
      </c>
      <c r="G41" s="5">
        <f>(Table1[[#This Row],[resolution_date]]-Table1[[#This Row],[submission_date]])*24</f>
        <v>12.236511666735169</v>
      </c>
      <c r="H41" t="str">
        <f>TEXT(Table1[[#This Row],[submission_date]],"DDDD")</f>
        <v>Thursday</v>
      </c>
      <c r="I41" t="str">
        <f>TEXT(Table1[[#This Row],[submission_date]],"mmmm")</f>
        <v>August</v>
      </c>
      <c r="J41">
        <f>HOUR(Table1[[#This Row],[resolution_date]])</f>
        <v>8</v>
      </c>
      <c r="K41" t="s">
        <v>105</v>
      </c>
    </row>
    <row r="42" spans="1:11" x14ac:dyDescent="0.3">
      <c r="A42" t="s">
        <v>106</v>
      </c>
      <c r="B42" s="2">
        <v>45905.24280886574</v>
      </c>
      <c r="C42" s="2">
        <v>45906.957953680554</v>
      </c>
      <c r="D42" t="s">
        <v>45</v>
      </c>
      <c r="E42" t="s">
        <v>9</v>
      </c>
      <c r="F42" t="s">
        <v>16</v>
      </c>
      <c r="G42" s="5">
        <f>(Table1[[#This Row],[resolution_date]]-Table1[[#This Row],[submission_date]])*24</f>
        <v>41.163475555542391</v>
      </c>
      <c r="H42" t="str">
        <f>TEXT(Table1[[#This Row],[submission_date]],"DDDD")</f>
        <v>Friday</v>
      </c>
      <c r="I42" t="str">
        <f>TEXT(Table1[[#This Row],[submission_date]],"mmmm")</f>
        <v>September</v>
      </c>
      <c r="J42">
        <f>HOUR(Table1[[#This Row],[resolution_date]])</f>
        <v>22</v>
      </c>
      <c r="K42" t="s">
        <v>107</v>
      </c>
    </row>
    <row r="43" spans="1:11" x14ac:dyDescent="0.3">
      <c r="A43" t="s">
        <v>108</v>
      </c>
      <c r="B43" s="2">
        <v>45913.768400347224</v>
      </c>
      <c r="C43" s="2">
        <v>45914.807395509262</v>
      </c>
      <c r="D43" t="s">
        <v>21</v>
      </c>
      <c r="E43" t="s">
        <v>14</v>
      </c>
      <c r="F43" t="s">
        <v>29</v>
      </c>
      <c r="G43" s="5">
        <f>(Table1[[#This Row],[resolution_date]]-Table1[[#This Row],[submission_date]])*24</f>
        <v>24.935883888916578</v>
      </c>
      <c r="H43" t="str">
        <f>TEXT(Table1[[#This Row],[submission_date]],"DDDD")</f>
        <v>Saturday</v>
      </c>
      <c r="I43" t="str">
        <f>TEXT(Table1[[#This Row],[submission_date]],"mmmm")</f>
        <v>September</v>
      </c>
      <c r="J43">
        <f>HOUR(Table1[[#This Row],[resolution_date]])</f>
        <v>19</v>
      </c>
      <c r="K43" t="s">
        <v>109</v>
      </c>
    </row>
    <row r="44" spans="1:11" ht="30.05" x14ac:dyDescent="0.3">
      <c r="A44" t="s">
        <v>110</v>
      </c>
      <c r="B44" s="2">
        <v>45866.029443506945</v>
      </c>
      <c r="C44" s="2">
        <v>45872.45864300926</v>
      </c>
      <c r="D44" t="s">
        <v>80</v>
      </c>
      <c r="E44" t="s">
        <v>55</v>
      </c>
      <c r="F44" t="s">
        <v>29</v>
      </c>
      <c r="G44" s="5">
        <f>(Table1[[#This Row],[resolution_date]]-Table1[[#This Row],[submission_date]])*24</f>
        <v>154.30078805558151</v>
      </c>
      <c r="H44" t="str">
        <f>TEXT(Table1[[#This Row],[submission_date]],"DDDD")</f>
        <v>Monday</v>
      </c>
      <c r="I44" t="str">
        <f>TEXT(Table1[[#This Row],[submission_date]],"mmmm")</f>
        <v>July</v>
      </c>
      <c r="J44">
        <f>HOUR(Table1[[#This Row],[resolution_date]])</f>
        <v>11</v>
      </c>
      <c r="K44" s="1" t="s">
        <v>111</v>
      </c>
    </row>
    <row r="45" spans="1:11" x14ac:dyDescent="0.3">
      <c r="A45" t="s">
        <v>112</v>
      </c>
      <c r="B45" s="2">
        <v>45868.901072280096</v>
      </c>
      <c r="C45" s="2">
        <v>45868.96509607639</v>
      </c>
      <c r="D45" t="s">
        <v>13</v>
      </c>
      <c r="E45" t="s">
        <v>35</v>
      </c>
      <c r="F45" t="s">
        <v>114</v>
      </c>
      <c r="G45" s="5">
        <f>(Table1[[#This Row],[resolution_date]]-Table1[[#This Row],[submission_date]])*24</f>
        <v>1.5365711110644042</v>
      </c>
      <c r="H45" t="str">
        <f>TEXT(Table1[[#This Row],[submission_date]],"DDDD")</f>
        <v>Wednesday</v>
      </c>
      <c r="I45" t="str">
        <f>TEXT(Table1[[#This Row],[submission_date]],"mmmm")</f>
        <v>July</v>
      </c>
      <c r="J45">
        <f>HOUR(Table1[[#This Row],[resolution_date]])</f>
        <v>23</v>
      </c>
      <c r="K45" t="s">
        <v>113</v>
      </c>
    </row>
    <row r="46" spans="1:11" x14ac:dyDescent="0.3">
      <c r="A46" t="s">
        <v>115</v>
      </c>
      <c r="B46" s="2">
        <v>45872.126770416668</v>
      </c>
      <c r="C46" s="2">
        <v>45872.29889071759</v>
      </c>
      <c r="D46" t="s">
        <v>21</v>
      </c>
      <c r="E46" t="s">
        <v>32</v>
      </c>
      <c r="F46" t="s">
        <v>11</v>
      </c>
      <c r="G46" s="5">
        <f>(Table1[[#This Row],[resolution_date]]-Table1[[#This Row],[submission_date]])*24</f>
        <v>4.1308872221270576</v>
      </c>
      <c r="H46" t="str">
        <f>TEXT(Table1[[#This Row],[submission_date]],"DDDD")</f>
        <v>Sunday</v>
      </c>
      <c r="I46" t="str">
        <f>TEXT(Table1[[#This Row],[submission_date]],"mmmm")</f>
        <v>August</v>
      </c>
      <c r="J46">
        <f>HOUR(Table1[[#This Row],[resolution_date]])</f>
        <v>7</v>
      </c>
      <c r="K46" t="s">
        <v>116</v>
      </c>
    </row>
    <row r="47" spans="1:11" x14ac:dyDescent="0.3">
      <c r="A47" t="s">
        <v>117</v>
      </c>
      <c r="B47" s="2">
        <v>45843.404094467594</v>
      </c>
      <c r="C47" s="2">
        <v>45843.878437824074</v>
      </c>
      <c r="D47" t="s">
        <v>13</v>
      </c>
      <c r="E47" t="s">
        <v>14</v>
      </c>
      <c r="F47" t="s">
        <v>11</v>
      </c>
      <c r="G47" s="5">
        <f>(Table1[[#This Row],[resolution_date]]-Table1[[#This Row],[submission_date]])*24</f>
        <v>11.384240555518772</v>
      </c>
      <c r="H47" t="str">
        <f>TEXT(Table1[[#This Row],[submission_date]],"DDDD")</f>
        <v>Saturday</v>
      </c>
      <c r="I47" t="str">
        <f>TEXT(Table1[[#This Row],[submission_date]],"mmmm")</f>
        <v>July</v>
      </c>
      <c r="J47">
        <f>HOUR(Table1[[#This Row],[resolution_date]])</f>
        <v>21</v>
      </c>
      <c r="K47" t="s">
        <v>118</v>
      </c>
    </row>
    <row r="48" spans="1:11" x14ac:dyDescent="0.3">
      <c r="A48" t="s">
        <v>119</v>
      </c>
      <c r="B48" s="2">
        <v>45899.571593854169</v>
      </c>
      <c r="C48" s="2">
        <v>45901.48748614583</v>
      </c>
      <c r="D48" t="s">
        <v>45</v>
      </c>
      <c r="E48" t="s">
        <v>25</v>
      </c>
      <c r="F48" t="s">
        <v>16</v>
      </c>
      <c r="G48" s="5">
        <f>(Table1[[#This Row],[resolution_date]]-Table1[[#This Row],[submission_date]])*24</f>
        <v>45.981414999871049</v>
      </c>
      <c r="H48" t="str">
        <f>TEXT(Table1[[#This Row],[submission_date]],"DDDD")</f>
        <v>Saturday</v>
      </c>
      <c r="I48" t="str">
        <f>TEXT(Table1[[#This Row],[submission_date]],"mmmm")</f>
        <v>August</v>
      </c>
      <c r="J48">
        <f>HOUR(Table1[[#This Row],[resolution_date]])</f>
        <v>11</v>
      </c>
      <c r="K48" t="s">
        <v>120</v>
      </c>
    </row>
    <row r="49" spans="1:11" x14ac:dyDescent="0.3">
      <c r="A49" t="s">
        <v>121</v>
      </c>
      <c r="B49" s="2">
        <v>45830.641442060187</v>
      </c>
      <c r="C49" s="2">
        <v>45835.539807534726</v>
      </c>
      <c r="D49" t="s">
        <v>31</v>
      </c>
      <c r="E49" t="s">
        <v>14</v>
      </c>
      <c r="F49" t="s">
        <v>29</v>
      </c>
      <c r="G49" s="5">
        <f>(Table1[[#This Row],[resolution_date]]-Table1[[#This Row],[submission_date]])*24</f>
        <v>117.56077138893306</v>
      </c>
      <c r="H49" t="str">
        <f>TEXT(Table1[[#This Row],[submission_date]],"DDDD")</f>
        <v>Sunday</v>
      </c>
      <c r="I49" t="str">
        <f>TEXT(Table1[[#This Row],[submission_date]],"mmmm")</f>
        <v>June</v>
      </c>
      <c r="J49">
        <f>HOUR(Table1[[#This Row],[resolution_date]])</f>
        <v>12</v>
      </c>
      <c r="K49" t="s">
        <v>122</v>
      </c>
    </row>
    <row r="50" spans="1:11" x14ac:dyDescent="0.3">
      <c r="A50" t="s">
        <v>123</v>
      </c>
      <c r="B50" s="2">
        <v>45841.133833182874</v>
      </c>
      <c r="C50" s="2">
        <v>45841.652713553238</v>
      </c>
      <c r="D50" t="s">
        <v>45</v>
      </c>
      <c r="E50" t="s">
        <v>14</v>
      </c>
      <c r="F50" t="s">
        <v>16</v>
      </c>
      <c r="G50" s="5">
        <f>(Table1[[#This Row],[resolution_date]]-Table1[[#This Row],[submission_date]])*24</f>
        <v>12.45312888873741</v>
      </c>
      <c r="H50" t="str">
        <f>TEXT(Table1[[#This Row],[submission_date]],"DDDD")</f>
        <v>Thursday</v>
      </c>
      <c r="I50" t="str">
        <f>TEXT(Table1[[#This Row],[submission_date]],"mmmm")</f>
        <v>July</v>
      </c>
      <c r="J50">
        <f>HOUR(Table1[[#This Row],[resolution_date]])</f>
        <v>15</v>
      </c>
      <c r="K50" t="s">
        <v>124</v>
      </c>
    </row>
    <row r="51" spans="1:11" x14ac:dyDescent="0.3">
      <c r="A51" t="s">
        <v>125</v>
      </c>
      <c r="B51" s="2">
        <v>45878.743972037038</v>
      </c>
      <c r="C51" s="2">
        <v>45879.856085624997</v>
      </c>
      <c r="D51" t="s">
        <v>45</v>
      </c>
      <c r="E51" t="s">
        <v>14</v>
      </c>
      <c r="F51" t="s">
        <v>16</v>
      </c>
      <c r="G51" s="5">
        <f>(Table1[[#This Row],[resolution_date]]-Table1[[#This Row],[submission_date]])*24</f>
        <v>26.690726111002732</v>
      </c>
      <c r="H51" t="str">
        <f>TEXT(Table1[[#This Row],[submission_date]],"DDDD")</f>
        <v>Saturday</v>
      </c>
      <c r="I51" t="str">
        <f>TEXT(Table1[[#This Row],[submission_date]],"mmmm")</f>
        <v>August</v>
      </c>
      <c r="J51">
        <f>HOUR(Table1[[#This Row],[resolution_date]])</f>
        <v>20</v>
      </c>
      <c r="K51" t="s">
        <v>126</v>
      </c>
    </row>
    <row r="52" spans="1:11" x14ac:dyDescent="0.3">
      <c r="A52" t="s">
        <v>127</v>
      </c>
      <c r="B52" s="2">
        <v>45861.349098321756</v>
      </c>
      <c r="C52" s="2">
        <v>45865.965208310183</v>
      </c>
      <c r="D52" t="s">
        <v>8</v>
      </c>
      <c r="E52" t="s">
        <v>22</v>
      </c>
      <c r="F52" t="s">
        <v>29</v>
      </c>
      <c r="G52" s="5">
        <f>(Table1[[#This Row],[resolution_date]]-Table1[[#This Row],[submission_date]])*24</f>
        <v>110.78663972223876</v>
      </c>
      <c r="H52" t="str">
        <f>TEXT(Table1[[#This Row],[submission_date]],"DDDD")</f>
        <v>Wednesday</v>
      </c>
      <c r="I52" t="str">
        <f>TEXT(Table1[[#This Row],[submission_date]],"mmmm")</f>
        <v>July</v>
      </c>
      <c r="J52">
        <f>HOUR(Table1[[#This Row],[resolution_date]])</f>
        <v>23</v>
      </c>
      <c r="K52" t="s">
        <v>128</v>
      </c>
    </row>
    <row r="53" spans="1:11" x14ac:dyDescent="0.3">
      <c r="A53" t="s">
        <v>129</v>
      </c>
      <c r="B53" s="2">
        <v>45869.827586620369</v>
      </c>
      <c r="C53" s="2">
        <v>45876.059095208337</v>
      </c>
      <c r="D53" t="s">
        <v>13</v>
      </c>
      <c r="E53" t="s">
        <v>14</v>
      </c>
      <c r="F53" t="s">
        <v>29</v>
      </c>
      <c r="G53" s="5">
        <f>(Table1[[#This Row],[resolution_date]]-Table1[[#This Row],[submission_date]])*24</f>
        <v>149.55620611121412</v>
      </c>
      <c r="H53" t="str">
        <f>TEXT(Table1[[#This Row],[submission_date]],"DDDD")</f>
        <v>Thursday</v>
      </c>
      <c r="I53" t="str">
        <f>TEXT(Table1[[#This Row],[submission_date]],"mmmm")</f>
        <v>July</v>
      </c>
      <c r="J53">
        <f>HOUR(Table1[[#This Row],[resolution_date]])</f>
        <v>1</v>
      </c>
      <c r="K53" t="s">
        <v>130</v>
      </c>
    </row>
    <row r="54" spans="1:11" x14ac:dyDescent="0.3">
      <c r="A54" t="s">
        <v>131</v>
      </c>
      <c r="B54" s="2">
        <v>45837.098491828707</v>
      </c>
      <c r="C54" s="2">
        <v>45837.72761415509</v>
      </c>
      <c r="D54" t="s">
        <v>13</v>
      </c>
      <c r="E54" t="s">
        <v>22</v>
      </c>
      <c r="F54" t="s">
        <v>16</v>
      </c>
      <c r="G54" s="5">
        <f>(Table1[[#This Row],[resolution_date]]-Table1[[#This Row],[submission_date]])*24</f>
        <v>15.098935833200812</v>
      </c>
      <c r="H54" t="str">
        <f>TEXT(Table1[[#This Row],[submission_date]],"DDDD")</f>
        <v>Sunday</v>
      </c>
      <c r="I54" t="str">
        <f>TEXT(Table1[[#This Row],[submission_date]],"mmmm")</f>
        <v>June</v>
      </c>
      <c r="J54">
        <f>HOUR(Table1[[#This Row],[resolution_date]])</f>
        <v>17</v>
      </c>
      <c r="K54" t="s">
        <v>132</v>
      </c>
    </row>
    <row r="55" spans="1:11" x14ac:dyDescent="0.3">
      <c r="A55" t="s">
        <v>133</v>
      </c>
      <c r="B55" s="2">
        <v>45884.862366689813</v>
      </c>
      <c r="C55" s="2">
        <v>45885.412255208335</v>
      </c>
      <c r="D55" t="s">
        <v>13</v>
      </c>
      <c r="E55" t="s">
        <v>14</v>
      </c>
      <c r="F55" t="s">
        <v>16</v>
      </c>
      <c r="G55" s="5">
        <f>(Table1[[#This Row],[resolution_date]]-Table1[[#This Row],[submission_date]])*24</f>
        <v>13.197324444539845</v>
      </c>
      <c r="H55" t="str">
        <f>TEXT(Table1[[#This Row],[submission_date]],"DDDD")</f>
        <v>Friday</v>
      </c>
      <c r="I55" t="str">
        <f>TEXT(Table1[[#This Row],[submission_date]],"mmmm")</f>
        <v>August</v>
      </c>
      <c r="J55">
        <f>HOUR(Table1[[#This Row],[resolution_date]])</f>
        <v>9</v>
      </c>
      <c r="K55" t="s">
        <v>134</v>
      </c>
    </row>
    <row r="56" spans="1:11" x14ac:dyDescent="0.3">
      <c r="A56" t="s">
        <v>135</v>
      </c>
      <c r="B56" s="2">
        <v>45853.375071770832</v>
      </c>
      <c r="C56" s="2">
        <v>45853.793861516206</v>
      </c>
      <c r="D56" t="s">
        <v>45</v>
      </c>
      <c r="E56" t="s">
        <v>18</v>
      </c>
      <c r="F56" t="s">
        <v>11</v>
      </c>
      <c r="G56" s="5">
        <f>(Table1[[#This Row],[resolution_date]]-Table1[[#This Row],[submission_date]])*24</f>
        <v>10.050953888974618</v>
      </c>
      <c r="H56" t="str">
        <f>TEXT(Table1[[#This Row],[submission_date]],"DDDD")</f>
        <v>Tuesday</v>
      </c>
      <c r="I56" t="str">
        <f>TEXT(Table1[[#This Row],[submission_date]],"mmmm")</f>
        <v>July</v>
      </c>
      <c r="J56">
        <f>HOUR(Table1[[#This Row],[resolution_date]])</f>
        <v>19</v>
      </c>
      <c r="K56" t="s">
        <v>136</v>
      </c>
    </row>
    <row r="57" spans="1:11" x14ac:dyDescent="0.3">
      <c r="A57" t="s">
        <v>137</v>
      </c>
      <c r="B57" s="2">
        <v>45829.046392881944</v>
      </c>
      <c r="C57" s="2">
        <v>45830.741530185187</v>
      </c>
      <c r="D57" t="s">
        <v>31</v>
      </c>
      <c r="E57" t="s">
        <v>14</v>
      </c>
      <c r="F57" t="s">
        <v>16</v>
      </c>
      <c r="G57" s="5">
        <f>(Table1[[#This Row],[resolution_date]]-Table1[[#This Row],[submission_date]])*24</f>
        <v>40.683295277820434</v>
      </c>
      <c r="H57" t="str">
        <f>TEXT(Table1[[#This Row],[submission_date]],"DDDD")</f>
        <v>Saturday</v>
      </c>
      <c r="I57" t="str">
        <f>TEXT(Table1[[#This Row],[submission_date]],"mmmm")</f>
        <v>June</v>
      </c>
      <c r="J57">
        <f>HOUR(Table1[[#This Row],[resolution_date]])</f>
        <v>17</v>
      </c>
      <c r="K57" t="s">
        <v>138</v>
      </c>
    </row>
    <row r="58" spans="1:11" x14ac:dyDescent="0.3">
      <c r="A58" t="s">
        <v>139</v>
      </c>
      <c r="B58" s="2">
        <v>45871.327925046295</v>
      </c>
      <c r="C58" s="2">
        <v>45872.603165902779</v>
      </c>
      <c r="D58" t="s">
        <v>8</v>
      </c>
      <c r="E58" t="s">
        <v>22</v>
      </c>
      <c r="F58" t="s">
        <v>16</v>
      </c>
      <c r="G58" s="5">
        <f>(Table1[[#This Row],[resolution_date]]-Table1[[#This Row],[submission_date]])*24</f>
        <v>30.605780555633828</v>
      </c>
      <c r="H58" t="str">
        <f>TEXT(Table1[[#This Row],[submission_date]],"DDDD")</f>
        <v>Saturday</v>
      </c>
      <c r="I58" t="str">
        <f>TEXT(Table1[[#This Row],[submission_date]],"mmmm")</f>
        <v>August</v>
      </c>
      <c r="J58">
        <f>HOUR(Table1[[#This Row],[resolution_date]])</f>
        <v>14</v>
      </c>
      <c r="K58" t="s">
        <v>140</v>
      </c>
    </row>
    <row r="59" spans="1:11" x14ac:dyDescent="0.3">
      <c r="A59" t="s">
        <v>141</v>
      </c>
      <c r="B59" s="2">
        <v>45860.353873182874</v>
      </c>
      <c r="C59" s="2">
        <v>45867.28399974537</v>
      </c>
      <c r="D59" t="s">
        <v>59</v>
      </c>
      <c r="E59" t="s">
        <v>35</v>
      </c>
      <c r="F59" t="s">
        <v>29</v>
      </c>
      <c r="G59" s="5">
        <f>(Table1[[#This Row],[resolution_date]]-Table1[[#This Row],[submission_date]])*24</f>
        <v>166.32303749991115</v>
      </c>
      <c r="H59" t="str">
        <f>TEXT(Table1[[#This Row],[submission_date]],"DDDD")</f>
        <v>Tuesday</v>
      </c>
      <c r="I59" t="str">
        <f>TEXT(Table1[[#This Row],[submission_date]],"mmmm")</f>
        <v>July</v>
      </c>
      <c r="J59">
        <f>HOUR(Table1[[#This Row],[resolution_date]])</f>
        <v>6</v>
      </c>
      <c r="K59" t="s">
        <v>142</v>
      </c>
    </row>
    <row r="60" spans="1:11" x14ac:dyDescent="0.3">
      <c r="A60" t="s">
        <v>143</v>
      </c>
      <c r="B60" s="2">
        <v>45875.571420300927</v>
      </c>
      <c r="C60" s="2">
        <v>45877.303206296296</v>
      </c>
      <c r="D60" t="s">
        <v>8</v>
      </c>
      <c r="E60" t="s">
        <v>35</v>
      </c>
      <c r="F60" t="s">
        <v>16</v>
      </c>
      <c r="G60" s="5">
        <f>(Table1[[#This Row],[resolution_date]]-Table1[[#This Row],[submission_date]])*24</f>
        <v>41.562863888859283</v>
      </c>
      <c r="H60" t="str">
        <f>TEXT(Table1[[#This Row],[submission_date]],"DDDD")</f>
        <v>Wednesday</v>
      </c>
      <c r="I60" t="str">
        <f>TEXT(Table1[[#This Row],[submission_date]],"mmmm")</f>
        <v>August</v>
      </c>
      <c r="J60">
        <f>HOUR(Table1[[#This Row],[resolution_date]])</f>
        <v>7</v>
      </c>
      <c r="K60" t="s">
        <v>144</v>
      </c>
    </row>
    <row r="61" spans="1:11" x14ac:dyDescent="0.3">
      <c r="A61" t="s">
        <v>145</v>
      </c>
      <c r="B61" s="2">
        <v>45827.276196747684</v>
      </c>
      <c r="C61" s="2">
        <v>45828.595821400464</v>
      </c>
      <c r="D61" t="s">
        <v>13</v>
      </c>
      <c r="E61" t="s">
        <v>32</v>
      </c>
      <c r="F61" t="s">
        <v>16</v>
      </c>
      <c r="G61" s="5">
        <f>(Table1[[#This Row],[resolution_date]]-Table1[[#This Row],[submission_date]])*24</f>
        <v>31.670991666731425</v>
      </c>
      <c r="H61" t="str">
        <f>TEXT(Table1[[#This Row],[submission_date]],"DDDD")</f>
        <v>Thursday</v>
      </c>
      <c r="I61" t="str">
        <f>TEXT(Table1[[#This Row],[submission_date]],"mmmm")</f>
        <v>June</v>
      </c>
      <c r="J61">
        <f>HOUR(Table1[[#This Row],[resolution_date]])</f>
        <v>14</v>
      </c>
      <c r="K61" t="s">
        <v>146</v>
      </c>
    </row>
    <row r="62" spans="1:11" x14ac:dyDescent="0.3">
      <c r="A62" t="s">
        <v>147</v>
      </c>
      <c r="B62" s="2">
        <v>45896.462244918985</v>
      </c>
      <c r="C62" s="2">
        <v>45897.49294236111</v>
      </c>
      <c r="D62" t="s">
        <v>21</v>
      </c>
      <c r="E62" t="s">
        <v>22</v>
      </c>
      <c r="F62" t="s">
        <v>16</v>
      </c>
      <c r="G62" s="5">
        <f>(Table1[[#This Row],[resolution_date]]-Table1[[#This Row],[submission_date]])*24</f>
        <v>24.736738611012697</v>
      </c>
      <c r="H62" t="str">
        <f>TEXT(Table1[[#This Row],[submission_date]],"DDDD")</f>
        <v>Wednesday</v>
      </c>
      <c r="I62" t="str">
        <f>TEXT(Table1[[#This Row],[submission_date]],"mmmm")</f>
        <v>August</v>
      </c>
      <c r="J62">
        <f>HOUR(Table1[[#This Row],[resolution_date]])</f>
        <v>11</v>
      </c>
      <c r="K62" t="s">
        <v>148</v>
      </c>
    </row>
    <row r="63" spans="1:11" x14ac:dyDescent="0.3">
      <c r="A63" t="s">
        <v>149</v>
      </c>
      <c r="B63" s="2">
        <v>45910.846970937499</v>
      </c>
      <c r="C63" s="2">
        <v>45912.419087835646</v>
      </c>
      <c r="D63" t="s">
        <v>13</v>
      </c>
      <c r="E63" t="s">
        <v>9</v>
      </c>
      <c r="F63" t="s">
        <v>16</v>
      </c>
      <c r="G63" s="5">
        <f>(Table1[[#This Row],[resolution_date]]-Table1[[#This Row],[submission_date]])*24</f>
        <v>37.730805555533152</v>
      </c>
      <c r="H63" t="str">
        <f>TEXT(Table1[[#This Row],[submission_date]],"DDDD")</f>
        <v>Wednesday</v>
      </c>
      <c r="I63" t="str">
        <f>TEXT(Table1[[#This Row],[submission_date]],"mmmm")</f>
        <v>September</v>
      </c>
      <c r="J63">
        <f>HOUR(Table1[[#This Row],[resolution_date]])</f>
        <v>10</v>
      </c>
      <c r="K63" t="s">
        <v>150</v>
      </c>
    </row>
    <row r="64" spans="1:11" x14ac:dyDescent="0.3">
      <c r="A64" t="s">
        <v>151</v>
      </c>
      <c r="B64" s="2">
        <v>45839.694215011572</v>
      </c>
      <c r="C64" s="2">
        <v>45840.681742858796</v>
      </c>
      <c r="D64" t="s">
        <v>13</v>
      </c>
      <c r="E64" t="s">
        <v>42</v>
      </c>
      <c r="F64" t="s">
        <v>16</v>
      </c>
      <c r="G64" s="5">
        <f>(Table1[[#This Row],[resolution_date]]-Table1[[#This Row],[submission_date]])*24</f>
        <v>23.700668333389331</v>
      </c>
      <c r="H64" t="str">
        <f>TEXT(Table1[[#This Row],[submission_date]],"DDDD")</f>
        <v>Tuesday</v>
      </c>
      <c r="I64" t="str">
        <f>TEXT(Table1[[#This Row],[submission_date]],"mmmm")</f>
        <v>July</v>
      </c>
      <c r="J64">
        <f>HOUR(Table1[[#This Row],[resolution_date]])</f>
        <v>16</v>
      </c>
      <c r="K64" t="s">
        <v>152</v>
      </c>
    </row>
    <row r="65" spans="1:11" x14ac:dyDescent="0.3">
      <c r="A65" t="s">
        <v>153</v>
      </c>
      <c r="B65" s="2">
        <v>45871.331352719906</v>
      </c>
      <c r="C65" s="2">
        <v>45871.66361797454</v>
      </c>
      <c r="D65" t="s">
        <v>31</v>
      </c>
      <c r="E65" t="s">
        <v>42</v>
      </c>
      <c r="F65" t="s">
        <v>11</v>
      </c>
      <c r="G65" s="5">
        <f>(Table1[[#This Row],[resolution_date]]-Table1[[#This Row],[submission_date]])*24</f>
        <v>7.974366111215204</v>
      </c>
      <c r="H65" t="str">
        <f>TEXT(Table1[[#This Row],[submission_date]],"DDDD")</f>
        <v>Saturday</v>
      </c>
      <c r="I65" t="str">
        <f>TEXT(Table1[[#This Row],[submission_date]],"mmmm")</f>
        <v>August</v>
      </c>
      <c r="J65">
        <f>HOUR(Table1[[#This Row],[resolution_date]])</f>
        <v>15</v>
      </c>
      <c r="K65" t="s">
        <v>154</v>
      </c>
    </row>
    <row r="66" spans="1:11" x14ac:dyDescent="0.3">
      <c r="A66" t="s">
        <v>155</v>
      </c>
      <c r="B66" s="2">
        <v>45910.248753749998</v>
      </c>
      <c r="C66" s="2">
        <v>45910.584669618052</v>
      </c>
      <c r="D66" t="s">
        <v>31</v>
      </c>
      <c r="E66" t="s">
        <v>25</v>
      </c>
      <c r="F66" t="s">
        <v>16</v>
      </c>
      <c r="G66" s="5">
        <f>(Table1[[#This Row],[resolution_date]]-Table1[[#This Row],[submission_date]])*24</f>
        <v>8.061980833299458</v>
      </c>
      <c r="H66" t="str">
        <f>TEXT(Table1[[#This Row],[submission_date]],"DDDD")</f>
        <v>Wednesday</v>
      </c>
      <c r="I66" t="str">
        <f>TEXT(Table1[[#This Row],[submission_date]],"mmmm")</f>
        <v>September</v>
      </c>
      <c r="J66">
        <f>HOUR(Table1[[#This Row],[resolution_date]])</f>
        <v>14</v>
      </c>
      <c r="K66" t="s">
        <v>156</v>
      </c>
    </row>
    <row r="67" spans="1:11" x14ac:dyDescent="0.3">
      <c r="A67" t="s">
        <v>157</v>
      </c>
      <c r="B67" s="2">
        <v>45886.799485474534</v>
      </c>
      <c r="C67" s="2">
        <v>45887.413612974538</v>
      </c>
      <c r="D67" t="s">
        <v>45</v>
      </c>
      <c r="E67" t="s">
        <v>9</v>
      </c>
      <c r="F67" t="s">
        <v>16</v>
      </c>
      <c r="G67" s="5">
        <f>(Table1[[#This Row],[resolution_date]]-Table1[[#This Row],[submission_date]])*24</f>
        <v>14.739060000109021</v>
      </c>
      <c r="H67" t="str">
        <f>TEXT(Table1[[#This Row],[submission_date]],"DDDD")</f>
        <v>Sunday</v>
      </c>
      <c r="I67" t="str">
        <f>TEXT(Table1[[#This Row],[submission_date]],"mmmm")</f>
        <v>August</v>
      </c>
      <c r="J67">
        <f>HOUR(Table1[[#This Row],[resolution_date]])</f>
        <v>9</v>
      </c>
      <c r="K67" t="s">
        <v>158</v>
      </c>
    </row>
    <row r="68" spans="1:11" x14ac:dyDescent="0.3">
      <c r="A68" t="s">
        <v>159</v>
      </c>
      <c r="B68" s="2">
        <v>45856.265250370372</v>
      </c>
      <c r="C68" s="2">
        <v>45861.837133449073</v>
      </c>
      <c r="D68" t="s">
        <v>21</v>
      </c>
      <c r="E68" t="s">
        <v>18</v>
      </c>
      <c r="F68" t="s">
        <v>29</v>
      </c>
      <c r="G68" s="5">
        <f>(Table1[[#This Row],[resolution_date]]-Table1[[#This Row],[submission_date]])*24</f>
        <v>133.7251938888221</v>
      </c>
      <c r="H68" t="str">
        <f>TEXT(Table1[[#This Row],[submission_date]],"DDDD")</f>
        <v>Friday</v>
      </c>
      <c r="I68" t="str">
        <f>TEXT(Table1[[#This Row],[submission_date]],"mmmm")</f>
        <v>July</v>
      </c>
      <c r="J68">
        <f>HOUR(Table1[[#This Row],[resolution_date]])</f>
        <v>20</v>
      </c>
      <c r="K68" t="s">
        <v>160</v>
      </c>
    </row>
    <row r="69" spans="1:11" x14ac:dyDescent="0.3">
      <c r="A69" t="s">
        <v>161</v>
      </c>
      <c r="B69" s="2">
        <v>45844.096052199071</v>
      </c>
      <c r="C69" s="2">
        <v>45845.543753993057</v>
      </c>
      <c r="D69" t="s">
        <v>45</v>
      </c>
      <c r="E69" t="s">
        <v>42</v>
      </c>
      <c r="F69" t="s">
        <v>16</v>
      </c>
      <c r="G69" s="5">
        <f>(Table1[[#This Row],[resolution_date]]-Table1[[#This Row],[submission_date]])*24</f>
        <v>34.744843055668753</v>
      </c>
      <c r="H69" t="str">
        <f>TEXT(Table1[[#This Row],[submission_date]],"DDDD")</f>
        <v>Sunday</v>
      </c>
      <c r="I69" t="str">
        <f>TEXT(Table1[[#This Row],[submission_date]],"mmmm")</f>
        <v>July</v>
      </c>
      <c r="J69">
        <f>HOUR(Table1[[#This Row],[resolution_date]])</f>
        <v>13</v>
      </c>
      <c r="K69" t="s">
        <v>162</v>
      </c>
    </row>
    <row r="70" spans="1:11" x14ac:dyDescent="0.3">
      <c r="A70" t="s">
        <v>163</v>
      </c>
      <c r="B70" s="2">
        <v>45894.949184375</v>
      </c>
      <c r="C70" s="2">
        <v>45898.220131793983</v>
      </c>
      <c r="D70" t="s">
        <v>13</v>
      </c>
      <c r="E70" t="s">
        <v>32</v>
      </c>
      <c r="F70" t="s">
        <v>29</v>
      </c>
      <c r="G70" s="5">
        <f>(Table1[[#This Row],[resolution_date]]-Table1[[#This Row],[submission_date]])*24</f>
        <v>78.502738055598456</v>
      </c>
      <c r="H70" t="str">
        <f>TEXT(Table1[[#This Row],[submission_date]],"DDDD")</f>
        <v>Monday</v>
      </c>
      <c r="I70" t="str">
        <f>TEXT(Table1[[#This Row],[submission_date]],"mmmm")</f>
        <v>August</v>
      </c>
      <c r="J70">
        <f>HOUR(Table1[[#This Row],[resolution_date]])</f>
        <v>5</v>
      </c>
      <c r="K70" t="s">
        <v>164</v>
      </c>
    </row>
    <row r="71" spans="1:11" x14ac:dyDescent="0.3">
      <c r="A71" t="s">
        <v>165</v>
      </c>
      <c r="B71" s="2">
        <v>45907.021170486114</v>
      </c>
      <c r="C71" s="2">
        <v>45908.025708969908</v>
      </c>
      <c r="D71" t="s">
        <v>13</v>
      </c>
      <c r="E71" t="s">
        <v>25</v>
      </c>
      <c r="F71" t="s">
        <v>16</v>
      </c>
      <c r="G71" s="5">
        <f>(Table1[[#This Row],[resolution_date]]-Table1[[#This Row],[submission_date]])*24</f>
        <v>24.108923611056525</v>
      </c>
      <c r="H71" t="str">
        <f>TEXT(Table1[[#This Row],[submission_date]],"DDDD")</f>
        <v>Sunday</v>
      </c>
      <c r="I71" t="str">
        <f>TEXT(Table1[[#This Row],[submission_date]],"mmmm")</f>
        <v>September</v>
      </c>
      <c r="J71">
        <f>HOUR(Table1[[#This Row],[resolution_date]])</f>
        <v>0</v>
      </c>
      <c r="K71" t="s">
        <v>166</v>
      </c>
    </row>
    <row r="72" spans="1:11" x14ac:dyDescent="0.3">
      <c r="A72" t="s">
        <v>167</v>
      </c>
      <c r="B72" s="2">
        <v>45859.915516805559</v>
      </c>
      <c r="C72" s="2">
        <v>45860.049579155093</v>
      </c>
      <c r="D72" t="s">
        <v>21</v>
      </c>
      <c r="E72" t="s">
        <v>42</v>
      </c>
      <c r="F72" t="s">
        <v>114</v>
      </c>
      <c r="G72" s="5">
        <f>(Table1[[#This Row],[resolution_date]]-Table1[[#This Row],[submission_date]])*24</f>
        <v>3.2174963888246566</v>
      </c>
      <c r="H72" t="str">
        <f>TEXT(Table1[[#This Row],[submission_date]],"DDDD")</f>
        <v>Monday</v>
      </c>
      <c r="I72" t="str">
        <f>TEXT(Table1[[#This Row],[submission_date]],"mmmm")</f>
        <v>July</v>
      </c>
      <c r="J72">
        <f>HOUR(Table1[[#This Row],[resolution_date]])</f>
        <v>1</v>
      </c>
      <c r="K72" t="s">
        <v>168</v>
      </c>
    </row>
    <row r="73" spans="1:11" x14ac:dyDescent="0.3">
      <c r="A73" t="s">
        <v>169</v>
      </c>
      <c r="B73" s="2">
        <v>45862.538502326388</v>
      </c>
      <c r="C73" s="2">
        <v>45863.373908437497</v>
      </c>
      <c r="D73" t="s">
        <v>13</v>
      </c>
      <c r="E73" t="s">
        <v>18</v>
      </c>
      <c r="F73" t="s">
        <v>16</v>
      </c>
      <c r="G73" s="5">
        <f>(Table1[[#This Row],[resolution_date]]-Table1[[#This Row],[submission_date]])*24</f>
        <v>20.04974666662747</v>
      </c>
      <c r="H73" t="str">
        <f>TEXT(Table1[[#This Row],[submission_date]],"DDDD")</f>
        <v>Thursday</v>
      </c>
      <c r="I73" t="str">
        <f>TEXT(Table1[[#This Row],[submission_date]],"mmmm")</f>
        <v>July</v>
      </c>
      <c r="J73">
        <f>HOUR(Table1[[#This Row],[resolution_date]])</f>
        <v>8</v>
      </c>
      <c r="K73" t="s">
        <v>170</v>
      </c>
    </row>
    <row r="74" spans="1:11" x14ac:dyDescent="0.3">
      <c r="A74" t="s">
        <v>171</v>
      </c>
      <c r="B74" s="2">
        <v>45826.321113136575</v>
      </c>
      <c r="C74" s="2">
        <v>45827.897584212966</v>
      </c>
      <c r="D74" t="s">
        <v>45</v>
      </c>
      <c r="E74" t="s">
        <v>42</v>
      </c>
      <c r="F74" t="s">
        <v>16</v>
      </c>
      <c r="G74" s="5">
        <f>(Table1[[#This Row],[resolution_date]]-Table1[[#This Row],[submission_date]])*24</f>
        <v>37.83530583337415</v>
      </c>
      <c r="H74" t="str">
        <f>TEXT(Table1[[#This Row],[submission_date]],"DDDD")</f>
        <v>Wednesday</v>
      </c>
      <c r="I74" t="str">
        <f>TEXT(Table1[[#This Row],[submission_date]],"mmmm")</f>
        <v>June</v>
      </c>
      <c r="J74">
        <f>HOUR(Table1[[#This Row],[resolution_date]])</f>
        <v>21</v>
      </c>
      <c r="K74" t="s">
        <v>172</v>
      </c>
    </row>
    <row r="75" spans="1:11" x14ac:dyDescent="0.3">
      <c r="A75" t="s">
        <v>173</v>
      </c>
      <c r="B75" s="2">
        <v>45903.107100034722</v>
      </c>
      <c r="C75" s="2">
        <v>45903.445007858798</v>
      </c>
      <c r="D75" t="s">
        <v>8</v>
      </c>
      <c r="E75" t="s">
        <v>46</v>
      </c>
      <c r="F75" t="s">
        <v>11</v>
      </c>
      <c r="G75" s="5">
        <f>(Table1[[#This Row],[resolution_date]]-Table1[[#This Row],[submission_date]])*24</f>
        <v>8.1097877778229304</v>
      </c>
      <c r="H75" t="str">
        <f>TEXT(Table1[[#This Row],[submission_date]],"DDDD")</f>
        <v>Wednesday</v>
      </c>
      <c r="I75" t="str">
        <f>TEXT(Table1[[#This Row],[submission_date]],"mmmm")</f>
        <v>September</v>
      </c>
      <c r="J75">
        <f>HOUR(Table1[[#This Row],[resolution_date]])</f>
        <v>10</v>
      </c>
      <c r="K75" t="s">
        <v>174</v>
      </c>
    </row>
    <row r="76" spans="1:11" x14ac:dyDescent="0.3">
      <c r="A76" t="s">
        <v>175</v>
      </c>
      <c r="B76" s="2">
        <v>45877.970792118052</v>
      </c>
      <c r="C76" s="2">
        <v>45883.972063807872</v>
      </c>
      <c r="D76" t="s">
        <v>59</v>
      </c>
      <c r="E76" t="s">
        <v>14</v>
      </c>
      <c r="F76" t="s">
        <v>29</v>
      </c>
      <c r="G76" s="5">
        <f>(Table1[[#This Row],[resolution_date]]-Table1[[#This Row],[submission_date]])*24</f>
        <v>144.03052055567969</v>
      </c>
      <c r="H76" t="str">
        <f>TEXT(Table1[[#This Row],[submission_date]],"DDDD")</f>
        <v>Friday</v>
      </c>
      <c r="I76" t="str">
        <f>TEXT(Table1[[#This Row],[submission_date]],"mmmm")</f>
        <v>August</v>
      </c>
      <c r="J76">
        <f>HOUR(Table1[[#This Row],[resolution_date]])</f>
        <v>23</v>
      </c>
      <c r="K76" t="s">
        <v>176</v>
      </c>
    </row>
    <row r="77" spans="1:11" x14ac:dyDescent="0.3">
      <c r="A77" t="s">
        <v>177</v>
      </c>
      <c r="B77" s="2">
        <v>45897.075165682872</v>
      </c>
      <c r="C77" s="2">
        <v>45897.403448738427</v>
      </c>
      <c r="D77" t="s">
        <v>8</v>
      </c>
      <c r="E77" t="s">
        <v>42</v>
      </c>
      <c r="F77" t="s">
        <v>11</v>
      </c>
      <c r="G77" s="5">
        <f>(Table1[[#This Row],[resolution_date]]-Table1[[#This Row],[submission_date]])*24</f>
        <v>7.8787933333078399</v>
      </c>
      <c r="H77" t="str">
        <f>TEXT(Table1[[#This Row],[submission_date]],"DDDD")</f>
        <v>Thursday</v>
      </c>
      <c r="I77" t="str">
        <f>TEXT(Table1[[#This Row],[submission_date]],"mmmm")</f>
        <v>August</v>
      </c>
      <c r="J77">
        <f>HOUR(Table1[[#This Row],[resolution_date]])</f>
        <v>9</v>
      </c>
      <c r="K77" t="s">
        <v>178</v>
      </c>
    </row>
    <row r="78" spans="1:11" x14ac:dyDescent="0.3">
      <c r="A78" t="s">
        <v>179</v>
      </c>
      <c r="B78" s="2">
        <v>45858.438465046296</v>
      </c>
      <c r="C78" s="2">
        <v>45858.591115138886</v>
      </c>
      <c r="D78" t="s">
        <v>13</v>
      </c>
      <c r="E78" t="s">
        <v>14</v>
      </c>
      <c r="F78" t="s">
        <v>11</v>
      </c>
      <c r="G78" s="5">
        <f>(Table1[[#This Row],[resolution_date]]-Table1[[#This Row],[submission_date]])*24</f>
        <v>3.6636022221646272</v>
      </c>
      <c r="H78" t="str">
        <f>TEXT(Table1[[#This Row],[submission_date]],"DDDD")</f>
        <v>Sunday</v>
      </c>
      <c r="I78" t="str">
        <f>TEXT(Table1[[#This Row],[submission_date]],"mmmm")</f>
        <v>July</v>
      </c>
      <c r="J78">
        <f>HOUR(Table1[[#This Row],[resolution_date]])</f>
        <v>14</v>
      </c>
      <c r="K78" t="s">
        <v>180</v>
      </c>
    </row>
    <row r="79" spans="1:11" x14ac:dyDescent="0.3">
      <c r="A79" t="s">
        <v>181</v>
      </c>
      <c r="B79" s="2">
        <v>45855.654603726849</v>
      </c>
      <c r="C79" s="2">
        <v>45855.944653101855</v>
      </c>
      <c r="D79" t="s">
        <v>59</v>
      </c>
      <c r="E79" t="s">
        <v>32</v>
      </c>
      <c r="F79" t="s">
        <v>11</v>
      </c>
      <c r="G79" s="5">
        <f>(Table1[[#This Row],[resolution_date]]-Table1[[#This Row],[submission_date]])*24</f>
        <v>6.9611850001383573</v>
      </c>
      <c r="H79" t="str">
        <f>TEXT(Table1[[#This Row],[submission_date]],"DDDD")</f>
        <v>Thursday</v>
      </c>
      <c r="I79" t="str">
        <f>TEXT(Table1[[#This Row],[submission_date]],"mmmm")</f>
        <v>July</v>
      </c>
      <c r="J79">
        <f>HOUR(Table1[[#This Row],[resolution_date]])</f>
        <v>22</v>
      </c>
      <c r="K79" t="s">
        <v>182</v>
      </c>
    </row>
    <row r="80" spans="1:11" x14ac:dyDescent="0.3">
      <c r="A80" t="s">
        <v>183</v>
      </c>
      <c r="B80" s="2">
        <v>45861.832680300926</v>
      </c>
      <c r="C80" s="2">
        <v>45864.478965694441</v>
      </c>
      <c r="D80" t="s">
        <v>13</v>
      </c>
      <c r="E80" t="s">
        <v>14</v>
      </c>
      <c r="F80" t="s">
        <v>29</v>
      </c>
      <c r="G80" s="5">
        <f>(Table1[[#This Row],[resolution_date]]-Table1[[#This Row],[submission_date]])*24</f>
        <v>63.510849444370251</v>
      </c>
      <c r="H80" t="str">
        <f>TEXT(Table1[[#This Row],[submission_date]],"DDDD")</f>
        <v>Wednesday</v>
      </c>
      <c r="I80" t="str">
        <f>TEXT(Table1[[#This Row],[submission_date]],"mmmm")</f>
        <v>July</v>
      </c>
      <c r="J80">
        <f>HOUR(Table1[[#This Row],[resolution_date]])</f>
        <v>11</v>
      </c>
      <c r="K80" t="s">
        <v>184</v>
      </c>
    </row>
    <row r="81" spans="1:11" x14ac:dyDescent="0.3">
      <c r="A81" t="s">
        <v>185</v>
      </c>
      <c r="B81" s="2">
        <v>45835.874010046296</v>
      </c>
      <c r="C81" s="2">
        <v>45839.839174652778</v>
      </c>
      <c r="D81" t="s">
        <v>45</v>
      </c>
      <c r="E81" t="s">
        <v>14</v>
      </c>
      <c r="F81" t="s">
        <v>29</v>
      </c>
      <c r="G81" s="5">
        <f>(Table1[[#This Row],[resolution_date]]-Table1[[#This Row],[submission_date]])*24</f>
        <v>95.1639505555504</v>
      </c>
      <c r="H81" t="str">
        <f>TEXT(Table1[[#This Row],[submission_date]],"DDDD")</f>
        <v>Friday</v>
      </c>
      <c r="I81" t="str">
        <f>TEXT(Table1[[#This Row],[submission_date]],"mmmm")</f>
        <v>June</v>
      </c>
      <c r="J81">
        <f>HOUR(Table1[[#This Row],[resolution_date]])</f>
        <v>20</v>
      </c>
      <c r="K81" t="s">
        <v>186</v>
      </c>
    </row>
    <row r="82" spans="1:11" x14ac:dyDescent="0.3">
      <c r="A82" t="s">
        <v>187</v>
      </c>
      <c r="B82" s="2">
        <v>45827.696929745369</v>
      </c>
      <c r="C82" s="2">
        <v>45833.939332164351</v>
      </c>
      <c r="D82" t="s">
        <v>13</v>
      </c>
      <c r="E82" t="s">
        <v>35</v>
      </c>
      <c r="F82" t="s">
        <v>29</v>
      </c>
      <c r="G82" s="5">
        <f>(Table1[[#This Row],[resolution_date]]-Table1[[#This Row],[submission_date]])*24</f>
        <v>149.8176580555737</v>
      </c>
      <c r="H82" t="str">
        <f>TEXT(Table1[[#This Row],[submission_date]],"DDDD")</f>
        <v>Thursday</v>
      </c>
      <c r="I82" t="str">
        <f>TEXT(Table1[[#This Row],[submission_date]],"mmmm")</f>
        <v>June</v>
      </c>
      <c r="J82">
        <f>HOUR(Table1[[#This Row],[resolution_date]])</f>
        <v>22</v>
      </c>
      <c r="K82" t="s">
        <v>188</v>
      </c>
    </row>
    <row r="83" spans="1:11" x14ac:dyDescent="0.3">
      <c r="A83" t="s">
        <v>189</v>
      </c>
      <c r="B83" s="2">
        <v>45835.035242280093</v>
      </c>
      <c r="C83" s="2">
        <v>45839.417101817133</v>
      </c>
      <c r="D83" t="s">
        <v>31</v>
      </c>
      <c r="E83" t="s">
        <v>22</v>
      </c>
      <c r="F83" t="s">
        <v>29</v>
      </c>
      <c r="G83" s="5">
        <f>(Table1[[#This Row],[resolution_date]]-Table1[[#This Row],[submission_date]])*24</f>
        <v>105.16462888894603</v>
      </c>
      <c r="H83" t="str">
        <f>TEXT(Table1[[#This Row],[submission_date]],"DDDD")</f>
        <v>Friday</v>
      </c>
      <c r="I83" t="str">
        <f>TEXT(Table1[[#This Row],[submission_date]],"mmmm")</f>
        <v>June</v>
      </c>
      <c r="J83">
        <f>HOUR(Table1[[#This Row],[resolution_date]])</f>
        <v>10</v>
      </c>
      <c r="K83" t="s">
        <v>190</v>
      </c>
    </row>
    <row r="84" spans="1:11" x14ac:dyDescent="0.3">
      <c r="A84" t="s">
        <v>191</v>
      </c>
      <c r="B84" s="2">
        <v>45879.470454189817</v>
      </c>
      <c r="C84" s="2">
        <v>45881.348121898147</v>
      </c>
      <c r="D84" t="s">
        <v>13</v>
      </c>
      <c r="E84" t="s">
        <v>14</v>
      </c>
      <c r="F84" t="s">
        <v>16</v>
      </c>
      <c r="G84" s="5">
        <f>(Table1[[#This Row],[resolution_date]]-Table1[[#This Row],[submission_date]])*24</f>
        <v>45.064024999912363</v>
      </c>
      <c r="H84" t="str">
        <f>TEXT(Table1[[#This Row],[submission_date]],"DDDD")</f>
        <v>Sunday</v>
      </c>
      <c r="I84" t="str">
        <f>TEXT(Table1[[#This Row],[submission_date]],"mmmm")</f>
        <v>August</v>
      </c>
      <c r="J84">
        <f>HOUR(Table1[[#This Row],[resolution_date]])</f>
        <v>8</v>
      </c>
      <c r="K84" t="s">
        <v>192</v>
      </c>
    </row>
    <row r="85" spans="1:11" x14ac:dyDescent="0.3">
      <c r="A85" t="s">
        <v>193</v>
      </c>
      <c r="B85" s="2">
        <v>45867.075831828704</v>
      </c>
      <c r="C85" s="2">
        <v>45869.559900428241</v>
      </c>
      <c r="D85" t="s">
        <v>80</v>
      </c>
      <c r="E85" t="s">
        <v>25</v>
      </c>
      <c r="F85" t="s">
        <v>29</v>
      </c>
      <c r="G85" s="5">
        <f>(Table1[[#This Row],[resolution_date]]-Table1[[#This Row],[submission_date]])*24</f>
        <v>59.617646388884168</v>
      </c>
      <c r="H85" t="str">
        <f>TEXT(Table1[[#This Row],[submission_date]],"DDDD")</f>
        <v>Tuesday</v>
      </c>
      <c r="I85" t="str">
        <f>TEXT(Table1[[#This Row],[submission_date]],"mmmm")</f>
        <v>July</v>
      </c>
      <c r="J85">
        <f>HOUR(Table1[[#This Row],[resolution_date]])</f>
        <v>13</v>
      </c>
      <c r="K85" t="s">
        <v>194</v>
      </c>
    </row>
    <row r="86" spans="1:11" x14ac:dyDescent="0.3">
      <c r="A86" t="s">
        <v>195</v>
      </c>
      <c r="B86" s="2">
        <v>45844.422962789351</v>
      </c>
      <c r="C86" s="2">
        <v>45849.014388842596</v>
      </c>
      <c r="D86" t="s">
        <v>21</v>
      </c>
      <c r="E86" t="s">
        <v>55</v>
      </c>
      <c r="F86" t="s">
        <v>29</v>
      </c>
      <c r="G86" s="5">
        <f>(Table1[[#This Row],[resolution_date]]-Table1[[#This Row],[submission_date]])*24</f>
        <v>110.1942252778681</v>
      </c>
      <c r="H86" t="str">
        <f>TEXT(Table1[[#This Row],[submission_date]],"DDDD")</f>
        <v>Sunday</v>
      </c>
      <c r="I86" t="str">
        <f>TEXT(Table1[[#This Row],[submission_date]],"mmmm")</f>
        <v>July</v>
      </c>
      <c r="J86">
        <f>HOUR(Table1[[#This Row],[resolution_date]])</f>
        <v>0</v>
      </c>
      <c r="K86" t="s">
        <v>196</v>
      </c>
    </row>
    <row r="87" spans="1:11" x14ac:dyDescent="0.3">
      <c r="A87" t="s">
        <v>197</v>
      </c>
      <c r="B87" s="2">
        <v>45868.183028981482</v>
      </c>
      <c r="C87" s="2">
        <v>45868.547340937497</v>
      </c>
      <c r="D87" t="s">
        <v>31</v>
      </c>
      <c r="E87" t="s">
        <v>32</v>
      </c>
      <c r="F87" t="s">
        <v>11</v>
      </c>
      <c r="G87" s="5">
        <f>(Table1[[#This Row],[resolution_date]]-Table1[[#This Row],[submission_date]])*24</f>
        <v>8.7434869443532079</v>
      </c>
      <c r="H87" t="str">
        <f>TEXT(Table1[[#This Row],[submission_date]],"DDDD")</f>
        <v>Wednesday</v>
      </c>
      <c r="I87" t="str">
        <f>TEXT(Table1[[#This Row],[submission_date]],"mmmm")</f>
        <v>July</v>
      </c>
      <c r="J87">
        <f>HOUR(Table1[[#This Row],[resolution_date]])</f>
        <v>13</v>
      </c>
      <c r="K87" t="s">
        <v>198</v>
      </c>
    </row>
    <row r="88" spans="1:11" x14ac:dyDescent="0.3">
      <c r="A88" t="s">
        <v>199</v>
      </c>
      <c r="B88" s="2">
        <v>45892.221289976849</v>
      </c>
      <c r="C88" s="2">
        <v>45893.692486550928</v>
      </c>
      <c r="D88" t="s">
        <v>13</v>
      </c>
      <c r="E88" t="s">
        <v>42</v>
      </c>
      <c r="F88" t="s">
        <v>16</v>
      </c>
      <c r="G88" s="5">
        <f>(Table1[[#This Row],[resolution_date]]-Table1[[#This Row],[submission_date]])*24</f>
        <v>35.308717777894344</v>
      </c>
      <c r="H88" t="str">
        <f>TEXT(Table1[[#This Row],[submission_date]],"DDDD")</f>
        <v>Saturday</v>
      </c>
      <c r="I88" t="str">
        <f>TEXT(Table1[[#This Row],[submission_date]],"mmmm")</f>
        <v>August</v>
      </c>
      <c r="J88">
        <f>HOUR(Table1[[#This Row],[resolution_date]])</f>
        <v>16</v>
      </c>
      <c r="K88" t="s">
        <v>200</v>
      </c>
    </row>
    <row r="89" spans="1:11" x14ac:dyDescent="0.3">
      <c r="A89" t="s">
        <v>201</v>
      </c>
      <c r="B89" s="2">
        <v>45848.132901874997</v>
      </c>
      <c r="C89" s="2">
        <v>45848.966689872686</v>
      </c>
      <c r="D89" t="s">
        <v>21</v>
      </c>
      <c r="E89" t="s">
        <v>18</v>
      </c>
      <c r="F89" t="s">
        <v>16</v>
      </c>
      <c r="G89" s="5">
        <f>(Table1[[#This Row],[resolution_date]]-Table1[[#This Row],[submission_date]])*24</f>
        <v>20.010911944555119</v>
      </c>
      <c r="H89" t="str">
        <f>TEXT(Table1[[#This Row],[submission_date]],"DDDD")</f>
        <v>Thursday</v>
      </c>
      <c r="I89" t="str">
        <f>TEXT(Table1[[#This Row],[submission_date]],"mmmm")</f>
        <v>July</v>
      </c>
      <c r="J89">
        <f>HOUR(Table1[[#This Row],[resolution_date]])</f>
        <v>23</v>
      </c>
      <c r="K89" t="s">
        <v>202</v>
      </c>
    </row>
    <row r="90" spans="1:11" x14ac:dyDescent="0.3">
      <c r="A90" t="s">
        <v>203</v>
      </c>
      <c r="B90" s="2">
        <v>45912.790745324077</v>
      </c>
      <c r="C90" s="2">
        <v>45914.105542256948</v>
      </c>
      <c r="D90" t="s">
        <v>13</v>
      </c>
      <c r="E90" t="s">
        <v>32</v>
      </c>
      <c r="F90" t="s">
        <v>16</v>
      </c>
      <c r="G90" s="5">
        <f>(Table1[[#This Row],[resolution_date]]-Table1[[#This Row],[submission_date]])*24</f>
        <v>31.555126388906501</v>
      </c>
      <c r="H90" t="str">
        <f>TEXT(Table1[[#This Row],[submission_date]],"DDDD")</f>
        <v>Friday</v>
      </c>
      <c r="I90" t="str">
        <f>TEXT(Table1[[#This Row],[submission_date]],"mmmm")</f>
        <v>September</v>
      </c>
      <c r="J90">
        <f>HOUR(Table1[[#This Row],[resolution_date]])</f>
        <v>2</v>
      </c>
      <c r="K90" t="s">
        <v>204</v>
      </c>
    </row>
    <row r="91" spans="1:11" x14ac:dyDescent="0.3">
      <c r="A91" t="s">
        <v>205</v>
      </c>
      <c r="B91" s="2">
        <v>45902.639425532405</v>
      </c>
      <c r="C91" s="2">
        <v>45908.681624143515</v>
      </c>
      <c r="D91" t="s">
        <v>13</v>
      </c>
      <c r="E91" t="s">
        <v>32</v>
      </c>
      <c r="F91" t="s">
        <v>29</v>
      </c>
      <c r="G91" s="5">
        <f>(Table1[[#This Row],[resolution_date]]-Table1[[#This Row],[submission_date]])*24</f>
        <v>145.01276666665217</v>
      </c>
      <c r="H91" t="str">
        <f>TEXT(Table1[[#This Row],[submission_date]],"DDDD")</f>
        <v>Tuesday</v>
      </c>
      <c r="I91" t="str">
        <f>TEXT(Table1[[#This Row],[submission_date]],"mmmm")</f>
        <v>September</v>
      </c>
      <c r="J91">
        <f>HOUR(Table1[[#This Row],[resolution_date]])</f>
        <v>16</v>
      </c>
      <c r="K91" t="s">
        <v>206</v>
      </c>
    </row>
    <row r="92" spans="1:11" x14ac:dyDescent="0.3">
      <c r="A92" t="s">
        <v>207</v>
      </c>
      <c r="B92" s="2">
        <v>45850.503205740744</v>
      </c>
      <c r="C92" s="2">
        <v>45851.26551005787</v>
      </c>
      <c r="D92" t="s">
        <v>13</v>
      </c>
      <c r="E92" t="s">
        <v>9</v>
      </c>
      <c r="F92" t="s">
        <v>16</v>
      </c>
      <c r="G92" s="5">
        <f>(Table1[[#This Row],[resolution_date]]-Table1[[#This Row],[submission_date]])*24</f>
        <v>18.295303611026611</v>
      </c>
      <c r="H92" t="str">
        <f>TEXT(Table1[[#This Row],[submission_date]],"DDDD")</f>
        <v>Saturday</v>
      </c>
      <c r="I92" t="str">
        <f>TEXT(Table1[[#This Row],[submission_date]],"mmmm")</f>
        <v>July</v>
      </c>
      <c r="J92">
        <f>HOUR(Table1[[#This Row],[resolution_date]])</f>
        <v>6</v>
      </c>
      <c r="K92" t="s">
        <v>208</v>
      </c>
    </row>
    <row r="93" spans="1:11" x14ac:dyDescent="0.3">
      <c r="A93" t="s">
        <v>209</v>
      </c>
      <c r="B93" s="2">
        <v>45875.192167974536</v>
      </c>
      <c r="C93" s="2">
        <v>45881.464590856478</v>
      </c>
      <c r="D93" t="s">
        <v>13</v>
      </c>
      <c r="E93" t="s">
        <v>32</v>
      </c>
      <c r="F93" t="s">
        <v>29</v>
      </c>
      <c r="G93" s="5">
        <f>(Table1[[#This Row],[resolution_date]]-Table1[[#This Row],[submission_date]])*24</f>
        <v>150.53814916661941</v>
      </c>
      <c r="H93" t="str">
        <f>TEXT(Table1[[#This Row],[submission_date]],"DDDD")</f>
        <v>Wednesday</v>
      </c>
      <c r="I93" t="str">
        <f>TEXT(Table1[[#This Row],[submission_date]],"mmmm")</f>
        <v>August</v>
      </c>
      <c r="J93">
        <f>HOUR(Table1[[#This Row],[resolution_date]])</f>
        <v>11</v>
      </c>
      <c r="K93" t="s">
        <v>210</v>
      </c>
    </row>
    <row r="94" spans="1:11" x14ac:dyDescent="0.3">
      <c r="A94" t="s">
        <v>211</v>
      </c>
      <c r="B94" s="2">
        <v>45832.518167638889</v>
      </c>
      <c r="C94" s="2">
        <v>45834.451125613428</v>
      </c>
      <c r="D94" t="s">
        <v>45</v>
      </c>
      <c r="E94" t="s">
        <v>22</v>
      </c>
      <c r="F94" t="s">
        <v>16</v>
      </c>
      <c r="G94" s="5">
        <f>(Table1[[#This Row],[resolution_date]]-Table1[[#This Row],[submission_date]])*24</f>
        <v>46.390991388936527</v>
      </c>
      <c r="H94" t="str">
        <f>TEXT(Table1[[#This Row],[submission_date]],"DDDD")</f>
        <v>Tuesday</v>
      </c>
      <c r="I94" t="str">
        <f>TEXT(Table1[[#This Row],[submission_date]],"mmmm")</f>
        <v>June</v>
      </c>
      <c r="J94">
        <f>HOUR(Table1[[#This Row],[resolution_date]])</f>
        <v>10</v>
      </c>
      <c r="K94" t="s">
        <v>212</v>
      </c>
    </row>
    <row r="95" spans="1:11" x14ac:dyDescent="0.3">
      <c r="A95" t="s">
        <v>213</v>
      </c>
      <c r="B95" s="2">
        <v>45833.894249444442</v>
      </c>
      <c r="C95" s="2">
        <v>45837.297820671294</v>
      </c>
      <c r="D95" t="s">
        <v>8</v>
      </c>
      <c r="E95" t="s">
        <v>22</v>
      </c>
      <c r="F95" t="s">
        <v>29</v>
      </c>
      <c r="G95" s="5">
        <f>(Table1[[#This Row],[resolution_date]]-Table1[[#This Row],[submission_date]])*24</f>
        <v>81.685709444456734</v>
      </c>
      <c r="H95" t="str">
        <f>TEXT(Table1[[#This Row],[submission_date]],"DDDD")</f>
        <v>Wednesday</v>
      </c>
      <c r="I95" t="str">
        <f>TEXT(Table1[[#This Row],[submission_date]],"mmmm")</f>
        <v>June</v>
      </c>
      <c r="J95">
        <f>HOUR(Table1[[#This Row],[resolution_date]])</f>
        <v>7</v>
      </c>
      <c r="K95" t="s">
        <v>214</v>
      </c>
    </row>
    <row r="96" spans="1:11" x14ac:dyDescent="0.3">
      <c r="A96" t="s">
        <v>215</v>
      </c>
      <c r="B96" s="2">
        <v>45863.629643032407</v>
      </c>
      <c r="C96" s="2">
        <v>45868.030028715279</v>
      </c>
      <c r="D96" t="s">
        <v>31</v>
      </c>
      <c r="E96" t="s">
        <v>42</v>
      </c>
      <c r="F96" t="s">
        <v>29</v>
      </c>
      <c r="G96" s="5">
        <f>(Table1[[#This Row],[resolution_date]]-Table1[[#This Row],[submission_date]])*24</f>
        <v>105.60925638891058</v>
      </c>
      <c r="H96" t="str">
        <f>TEXT(Table1[[#This Row],[submission_date]],"DDDD")</f>
        <v>Friday</v>
      </c>
      <c r="I96" t="str">
        <f>TEXT(Table1[[#This Row],[submission_date]],"mmmm")</f>
        <v>July</v>
      </c>
      <c r="J96">
        <f>HOUR(Table1[[#This Row],[resolution_date]])</f>
        <v>0</v>
      </c>
      <c r="K96" t="s">
        <v>216</v>
      </c>
    </row>
    <row r="97" spans="1:11" x14ac:dyDescent="0.3">
      <c r="A97" t="s">
        <v>217</v>
      </c>
      <c r="B97" s="2">
        <v>45863.74130209491</v>
      </c>
      <c r="C97" s="2">
        <v>45864.909261319444</v>
      </c>
      <c r="D97" t="s">
        <v>8</v>
      </c>
      <c r="E97" t="s">
        <v>9</v>
      </c>
      <c r="F97" t="s">
        <v>16</v>
      </c>
      <c r="G97" s="5">
        <f>(Table1[[#This Row],[resolution_date]]-Table1[[#This Row],[submission_date]])*24</f>
        <v>28.031021388829686</v>
      </c>
      <c r="H97" t="str">
        <f>TEXT(Table1[[#This Row],[submission_date]],"DDDD")</f>
        <v>Friday</v>
      </c>
      <c r="I97" t="str">
        <f>TEXT(Table1[[#This Row],[submission_date]],"mmmm")</f>
        <v>July</v>
      </c>
      <c r="J97">
        <f>HOUR(Table1[[#This Row],[resolution_date]])</f>
        <v>21</v>
      </c>
      <c r="K97" t="s">
        <v>218</v>
      </c>
    </row>
    <row r="98" spans="1:11" x14ac:dyDescent="0.3">
      <c r="A98" t="s">
        <v>219</v>
      </c>
      <c r="B98" s="2">
        <v>45881.742879791665</v>
      </c>
      <c r="C98" s="2">
        <v>45883.565504467595</v>
      </c>
      <c r="D98" t="s">
        <v>31</v>
      </c>
      <c r="E98" t="s">
        <v>25</v>
      </c>
      <c r="F98" t="s">
        <v>29</v>
      </c>
      <c r="G98" s="5">
        <f>(Table1[[#This Row],[resolution_date]]-Table1[[#This Row],[submission_date]])*24</f>
        <v>43.742992222309113</v>
      </c>
      <c r="H98" t="str">
        <f>TEXT(Table1[[#This Row],[submission_date]],"DDDD")</f>
        <v>Tuesday</v>
      </c>
      <c r="I98" t="str">
        <f>TEXT(Table1[[#This Row],[submission_date]],"mmmm")</f>
        <v>August</v>
      </c>
      <c r="J98">
        <f>HOUR(Table1[[#This Row],[resolution_date]])</f>
        <v>13</v>
      </c>
      <c r="K98" t="s">
        <v>220</v>
      </c>
    </row>
    <row r="99" spans="1:11" x14ac:dyDescent="0.3">
      <c r="A99" t="s">
        <v>221</v>
      </c>
      <c r="B99" s="2">
        <v>45863.88633465278</v>
      </c>
      <c r="C99" s="2">
        <v>45870.561789224535</v>
      </c>
      <c r="D99" t="s">
        <v>21</v>
      </c>
      <c r="E99" t="s">
        <v>32</v>
      </c>
      <c r="F99" t="s">
        <v>29</v>
      </c>
      <c r="G99" s="5">
        <f>(Table1[[#This Row],[resolution_date]]-Table1[[#This Row],[submission_date]])*24</f>
        <v>160.21090972214006</v>
      </c>
      <c r="H99" t="str">
        <f>TEXT(Table1[[#This Row],[submission_date]],"DDDD")</f>
        <v>Friday</v>
      </c>
      <c r="I99" t="str">
        <f>TEXT(Table1[[#This Row],[submission_date]],"mmmm")</f>
        <v>July</v>
      </c>
      <c r="J99">
        <f>HOUR(Table1[[#This Row],[resolution_date]])</f>
        <v>13</v>
      </c>
      <c r="K99" t="s">
        <v>222</v>
      </c>
    </row>
    <row r="100" spans="1:11" x14ac:dyDescent="0.3">
      <c r="A100" t="s">
        <v>223</v>
      </c>
      <c r="B100" s="2">
        <v>45914.807502268515</v>
      </c>
      <c r="C100" s="2">
        <v>45914.935071701388</v>
      </c>
      <c r="D100" t="s">
        <v>13</v>
      </c>
      <c r="E100" t="s">
        <v>14</v>
      </c>
      <c r="F100" t="s">
        <v>11</v>
      </c>
      <c r="G100" s="5">
        <f>(Table1[[#This Row],[resolution_date]]-Table1[[#This Row],[submission_date]])*24</f>
        <v>3.0616663889377378</v>
      </c>
      <c r="H100" t="str">
        <f>TEXT(Table1[[#This Row],[submission_date]],"DDDD")</f>
        <v>Sunday</v>
      </c>
      <c r="I100" t="str">
        <f>TEXT(Table1[[#This Row],[submission_date]],"mmmm")</f>
        <v>September</v>
      </c>
      <c r="J100">
        <f>HOUR(Table1[[#This Row],[resolution_date]])</f>
        <v>22</v>
      </c>
      <c r="K100" t="s">
        <v>224</v>
      </c>
    </row>
    <row r="101" spans="1:11" x14ac:dyDescent="0.3">
      <c r="A101" t="s">
        <v>225</v>
      </c>
      <c r="B101" s="2">
        <v>45869.010687291666</v>
      </c>
      <c r="C101" s="2">
        <v>45869.377826099539</v>
      </c>
      <c r="D101" t="s">
        <v>21</v>
      </c>
      <c r="E101" t="s">
        <v>25</v>
      </c>
      <c r="F101" t="s">
        <v>16</v>
      </c>
      <c r="G101" s="5">
        <f>(Table1[[#This Row],[resolution_date]]-Table1[[#This Row],[submission_date]])*24</f>
        <v>8.8113313889480196</v>
      </c>
      <c r="H101" t="str">
        <f>TEXT(Table1[[#This Row],[submission_date]],"DDDD")</f>
        <v>Thursday</v>
      </c>
      <c r="I101" t="str">
        <f>TEXT(Table1[[#This Row],[submission_date]],"mmmm")</f>
        <v>July</v>
      </c>
      <c r="J101">
        <f>HOUR(Table1[[#This Row],[resolution_date]])</f>
        <v>9</v>
      </c>
      <c r="K101" t="s">
        <v>226</v>
      </c>
    </row>
    <row r="102" spans="1:11" x14ac:dyDescent="0.3">
      <c r="A102" t="s">
        <v>227</v>
      </c>
      <c r="B102" s="2">
        <v>45886.551199293979</v>
      </c>
      <c r="C102" s="2">
        <v>45886.637387997682</v>
      </c>
      <c r="D102" t="s">
        <v>13</v>
      </c>
      <c r="E102" t="s">
        <v>32</v>
      </c>
      <c r="F102" t="s">
        <v>114</v>
      </c>
      <c r="G102" s="5">
        <f>(Table1[[#This Row],[resolution_date]]-Table1[[#This Row],[submission_date]])*24</f>
        <v>2.0685288888635114</v>
      </c>
      <c r="H102" t="str">
        <f>TEXT(Table1[[#This Row],[submission_date]],"DDDD")</f>
        <v>Sunday</v>
      </c>
      <c r="I102" t="str">
        <f>TEXT(Table1[[#This Row],[submission_date]],"mmmm")</f>
        <v>August</v>
      </c>
      <c r="J102">
        <f>HOUR(Table1[[#This Row],[resolution_date]])</f>
        <v>15</v>
      </c>
      <c r="K102" t="s">
        <v>228</v>
      </c>
    </row>
    <row r="103" spans="1:11" x14ac:dyDescent="0.3">
      <c r="A103" t="s">
        <v>229</v>
      </c>
      <c r="B103" s="2">
        <v>45911.538317349536</v>
      </c>
      <c r="C103" s="2">
        <v>45913.271872893522</v>
      </c>
      <c r="D103" t="s">
        <v>13</v>
      </c>
      <c r="E103" t="s">
        <v>42</v>
      </c>
      <c r="F103" t="s">
        <v>16</v>
      </c>
      <c r="G103" s="5">
        <f>(Table1[[#This Row],[resolution_date]]-Table1[[#This Row],[submission_date]])*24</f>
        <v>41.605333055660594</v>
      </c>
      <c r="H103" t="str">
        <f>TEXT(Table1[[#This Row],[submission_date]],"DDDD")</f>
        <v>Thursday</v>
      </c>
      <c r="I103" t="str">
        <f>TEXT(Table1[[#This Row],[submission_date]],"mmmm")</f>
        <v>September</v>
      </c>
      <c r="J103">
        <f>HOUR(Table1[[#This Row],[resolution_date]])</f>
        <v>6</v>
      </c>
      <c r="K103" t="s">
        <v>230</v>
      </c>
    </row>
    <row r="104" spans="1:11" x14ac:dyDescent="0.3">
      <c r="A104" t="s">
        <v>231</v>
      </c>
      <c r="B104" s="2">
        <v>45839.36759386574</v>
      </c>
      <c r="C104" s="2">
        <v>45840.472722094906</v>
      </c>
      <c r="D104" t="s">
        <v>8</v>
      </c>
      <c r="E104" t="s">
        <v>32</v>
      </c>
      <c r="F104" t="s">
        <v>29</v>
      </c>
      <c r="G104" s="5">
        <f>(Table1[[#This Row],[resolution_date]]-Table1[[#This Row],[submission_date]])*24</f>
        <v>26.523077499994542</v>
      </c>
      <c r="H104" t="str">
        <f>TEXT(Table1[[#This Row],[submission_date]],"DDDD")</f>
        <v>Tuesday</v>
      </c>
      <c r="I104" t="str">
        <f>TEXT(Table1[[#This Row],[submission_date]],"mmmm")</f>
        <v>July</v>
      </c>
      <c r="J104">
        <f>HOUR(Table1[[#This Row],[resolution_date]])</f>
        <v>11</v>
      </c>
      <c r="K104" t="s">
        <v>232</v>
      </c>
    </row>
    <row r="105" spans="1:11" x14ac:dyDescent="0.3">
      <c r="A105" t="s">
        <v>233</v>
      </c>
      <c r="B105" s="2">
        <v>45833.941698634262</v>
      </c>
      <c r="C105" s="2">
        <v>45834.416492488424</v>
      </c>
      <c r="D105" t="s">
        <v>13</v>
      </c>
      <c r="E105" t="s">
        <v>55</v>
      </c>
      <c r="F105" t="s">
        <v>16</v>
      </c>
      <c r="G105" s="5">
        <f>(Table1[[#This Row],[resolution_date]]-Table1[[#This Row],[submission_date]])*24</f>
        <v>11.395052499894518</v>
      </c>
      <c r="H105" t="str">
        <f>TEXT(Table1[[#This Row],[submission_date]],"DDDD")</f>
        <v>Wednesday</v>
      </c>
      <c r="I105" t="str">
        <f>TEXT(Table1[[#This Row],[submission_date]],"mmmm")</f>
        <v>June</v>
      </c>
      <c r="J105">
        <f>HOUR(Table1[[#This Row],[resolution_date]])</f>
        <v>9</v>
      </c>
      <c r="K105" t="s">
        <v>234</v>
      </c>
    </row>
    <row r="106" spans="1:11" x14ac:dyDescent="0.3">
      <c r="A106" t="s">
        <v>235</v>
      </c>
      <c r="B106" s="2">
        <v>45906.263209618053</v>
      </c>
      <c r="C106" s="2">
        <v>45906.441982453704</v>
      </c>
      <c r="D106" t="s">
        <v>80</v>
      </c>
      <c r="E106" t="s">
        <v>55</v>
      </c>
      <c r="F106" t="s">
        <v>11</v>
      </c>
      <c r="G106" s="5">
        <f>(Table1[[#This Row],[resolution_date]]-Table1[[#This Row],[submission_date]])*24</f>
        <v>4.2905480556073599</v>
      </c>
      <c r="H106" t="str">
        <f>TEXT(Table1[[#This Row],[submission_date]],"DDDD")</f>
        <v>Saturday</v>
      </c>
      <c r="I106" t="str">
        <f>TEXT(Table1[[#This Row],[submission_date]],"mmmm")</f>
        <v>September</v>
      </c>
      <c r="J106">
        <f>HOUR(Table1[[#This Row],[resolution_date]])</f>
        <v>10</v>
      </c>
      <c r="K106" t="s">
        <v>236</v>
      </c>
    </row>
    <row r="107" spans="1:11" x14ac:dyDescent="0.3">
      <c r="A107" t="s">
        <v>237</v>
      </c>
      <c r="B107" s="2">
        <v>45872.281321724535</v>
      </c>
      <c r="C107" s="2">
        <v>45874.695412037036</v>
      </c>
      <c r="D107" t="s">
        <v>45</v>
      </c>
      <c r="E107" t="s">
        <v>46</v>
      </c>
      <c r="F107" t="s">
        <v>29</v>
      </c>
      <c r="G107" s="5">
        <f>(Table1[[#This Row],[resolution_date]]-Table1[[#This Row],[submission_date]])*24</f>
        <v>57.938167500018608</v>
      </c>
      <c r="H107" t="str">
        <f>TEXT(Table1[[#This Row],[submission_date]],"DDDD")</f>
        <v>Sunday</v>
      </c>
      <c r="I107" t="str">
        <f>TEXT(Table1[[#This Row],[submission_date]],"mmmm")</f>
        <v>August</v>
      </c>
      <c r="J107">
        <f>HOUR(Table1[[#This Row],[resolution_date]])</f>
        <v>16</v>
      </c>
      <c r="K107" t="s">
        <v>238</v>
      </c>
    </row>
    <row r="108" spans="1:11" x14ac:dyDescent="0.3">
      <c r="A108" t="s">
        <v>239</v>
      </c>
      <c r="B108" s="2">
        <v>45886.512519641205</v>
      </c>
      <c r="C108" s="2">
        <v>45887.770572569447</v>
      </c>
      <c r="D108" t="s">
        <v>80</v>
      </c>
      <c r="E108" t="s">
        <v>18</v>
      </c>
      <c r="F108" t="s">
        <v>16</v>
      </c>
      <c r="G108" s="5">
        <f>(Table1[[#This Row],[resolution_date]]-Table1[[#This Row],[submission_date]])*24</f>
        <v>30.193270277814008</v>
      </c>
      <c r="H108" t="str">
        <f>TEXT(Table1[[#This Row],[submission_date]],"DDDD")</f>
        <v>Sunday</v>
      </c>
      <c r="I108" t="str">
        <f>TEXT(Table1[[#This Row],[submission_date]],"mmmm")</f>
        <v>August</v>
      </c>
      <c r="J108">
        <f>HOUR(Table1[[#This Row],[resolution_date]])</f>
        <v>18</v>
      </c>
      <c r="K108" t="s">
        <v>240</v>
      </c>
    </row>
    <row r="109" spans="1:11" x14ac:dyDescent="0.3">
      <c r="A109" t="s">
        <v>241</v>
      </c>
      <c r="B109" s="2">
        <v>45866.620971516204</v>
      </c>
      <c r="C109" s="2">
        <v>45869.341103599538</v>
      </c>
      <c r="D109" t="s">
        <v>21</v>
      </c>
      <c r="E109" t="s">
        <v>14</v>
      </c>
      <c r="F109" t="s">
        <v>29</v>
      </c>
      <c r="G109" s="5">
        <f>(Table1[[#This Row],[resolution_date]]-Table1[[#This Row],[submission_date]])*24</f>
        <v>65.283170000009704</v>
      </c>
      <c r="H109" t="str">
        <f>TEXT(Table1[[#This Row],[submission_date]],"DDDD")</f>
        <v>Monday</v>
      </c>
      <c r="I109" t="str">
        <f>TEXT(Table1[[#This Row],[submission_date]],"mmmm")</f>
        <v>July</v>
      </c>
      <c r="J109">
        <f>HOUR(Table1[[#This Row],[resolution_date]])</f>
        <v>8</v>
      </c>
      <c r="K109" t="s">
        <v>242</v>
      </c>
    </row>
    <row r="110" spans="1:11" x14ac:dyDescent="0.3">
      <c r="A110" t="s">
        <v>243</v>
      </c>
      <c r="B110" s="2">
        <v>45850.289993865743</v>
      </c>
      <c r="C110" s="2">
        <v>45850.497444108798</v>
      </c>
      <c r="D110" t="s">
        <v>21</v>
      </c>
      <c r="E110" t="s">
        <v>18</v>
      </c>
      <c r="F110" t="s">
        <v>11</v>
      </c>
      <c r="G110" s="5">
        <f>(Table1[[#This Row],[resolution_date]]-Table1[[#This Row],[submission_date]])*24</f>
        <v>4.9788058333215304</v>
      </c>
      <c r="H110" t="str">
        <f>TEXT(Table1[[#This Row],[submission_date]],"DDDD")</f>
        <v>Saturday</v>
      </c>
      <c r="I110" t="str">
        <f>TEXT(Table1[[#This Row],[submission_date]],"mmmm")</f>
        <v>July</v>
      </c>
      <c r="J110">
        <f>HOUR(Table1[[#This Row],[resolution_date]])</f>
        <v>11</v>
      </c>
      <c r="K110" t="s">
        <v>244</v>
      </c>
    </row>
    <row r="111" spans="1:11" x14ac:dyDescent="0.3">
      <c r="A111" t="s">
        <v>245</v>
      </c>
      <c r="B111" s="2">
        <v>45851.016814189818</v>
      </c>
      <c r="C111" s="2">
        <v>45857.933740289351</v>
      </c>
      <c r="D111" t="s">
        <v>13</v>
      </c>
      <c r="E111" t="s">
        <v>18</v>
      </c>
      <c r="F111" t="s">
        <v>29</v>
      </c>
      <c r="G111" s="5">
        <f>(Table1[[#This Row],[resolution_date]]-Table1[[#This Row],[submission_date]])*24</f>
        <v>166.00622638879577</v>
      </c>
      <c r="H111" t="str">
        <f>TEXT(Table1[[#This Row],[submission_date]],"DDDD")</f>
        <v>Sunday</v>
      </c>
      <c r="I111" t="str">
        <f>TEXT(Table1[[#This Row],[submission_date]],"mmmm")</f>
        <v>July</v>
      </c>
      <c r="J111">
        <f>HOUR(Table1[[#This Row],[resolution_date]])</f>
        <v>22</v>
      </c>
      <c r="K111" t="s">
        <v>246</v>
      </c>
    </row>
    <row r="112" spans="1:11" x14ac:dyDescent="0.3">
      <c r="A112" t="s">
        <v>247</v>
      </c>
      <c r="B112" s="2">
        <v>45852.247494618059</v>
      </c>
      <c r="C112" s="2">
        <v>45852.52489966435</v>
      </c>
      <c r="D112" t="s">
        <v>31</v>
      </c>
      <c r="E112" t="s">
        <v>42</v>
      </c>
      <c r="F112" t="s">
        <v>11</v>
      </c>
      <c r="G112" s="5">
        <f>(Table1[[#This Row],[resolution_date]]-Table1[[#This Row],[submission_date]])*24</f>
        <v>6.6577211109688506</v>
      </c>
      <c r="H112" t="str">
        <f>TEXT(Table1[[#This Row],[submission_date]],"DDDD")</f>
        <v>Monday</v>
      </c>
      <c r="I112" t="str">
        <f>TEXT(Table1[[#This Row],[submission_date]],"mmmm")</f>
        <v>July</v>
      </c>
      <c r="J112">
        <f>HOUR(Table1[[#This Row],[resolution_date]])</f>
        <v>12</v>
      </c>
      <c r="K112" t="s">
        <v>248</v>
      </c>
    </row>
    <row r="113" spans="1:11" x14ac:dyDescent="0.3">
      <c r="A113" t="s">
        <v>249</v>
      </c>
      <c r="B113" s="2">
        <v>45897.479103912039</v>
      </c>
      <c r="C113" s="2">
        <v>45904.444584293982</v>
      </c>
      <c r="D113" t="s">
        <v>13</v>
      </c>
      <c r="E113" t="s">
        <v>18</v>
      </c>
      <c r="F113" t="s">
        <v>29</v>
      </c>
      <c r="G113" s="5">
        <f>(Table1[[#This Row],[resolution_date]]-Table1[[#This Row],[submission_date]])*24</f>
        <v>167.17152916663326</v>
      </c>
      <c r="H113" t="str">
        <f>TEXT(Table1[[#This Row],[submission_date]],"DDDD")</f>
        <v>Thursday</v>
      </c>
      <c r="I113" t="str">
        <f>TEXT(Table1[[#This Row],[submission_date]],"mmmm")</f>
        <v>August</v>
      </c>
      <c r="J113">
        <f>HOUR(Table1[[#This Row],[resolution_date]])</f>
        <v>10</v>
      </c>
      <c r="K113" t="s">
        <v>250</v>
      </c>
    </row>
    <row r="114" spans="1:11" x14ac:dyDescent="0.3">
      <c r="A114" t="s">
        <v>251</v>
      </c>
      <c r="B114" s="2">
        <v>45897.33485097222</v>
      </c>
      <c r="C114" s="2">
        <v>45902.195088425928</v>
      </c>
      <c r="D114" t="s">
        <v>59</v>
      </c>
      <c r="E114" t="s">
        <v>14</v>
      </c>
      <c r="F114" t="s">
        <v>29</v>
      </c>
      <c r="G114" s="5">
        <f>(Table1[[#This Row],[resolution_date]]-Table1[[#This Row],[submission_date]])*24</f>
        <v>116.64569888898404</v>
      </c>
      <c r="H114" t="str">
        <f>TEXT(Table1[[#This Row],[submission_date]],"DDDD")</f>
        <v>Thursday</v>
      </c>
      <c r="I114" t="str">
        <f>TEXT(Table1[[#This Row],[submission_date]],"mmmm")</f>
        <v>August</v>
      </c>
      <c r="J114">
        <f>HOUR(Table1[[#This Row],[resolution_date]])</f>
        <v>4</v>
      </c>
      <c r="K114" t="s">
        <v>252</v>
      </c>
    </row>
    <row r="115" spans="1:11" x14ac:dyDescent="0.3">
      <c r="A115" t="s">
        <v>253</v>
      </c>
      <c r="B115" s="2">
        <v>45889.472084976849</v>
      </c>
      <c r="C115" s="2">
        <v>45889.563600474539</v>
      </c>
      <c r="D115" t="s">
        <v>21</v>
      </c>
      <c r="E115" t="s">
        <v>22</v>
      </c>
      <c r="F115" t="s">
        <v>11</v>
      </c>
      <c r="G115" s="5">
        <f>(Table1[[#This Row],[resolution_date]]-Table1[[#This Row],[submission_date]])*24</f>
        <v>2.1963719445629977</v>
      </c>
      <c r="H115" t="str">
        <f>TEXT(Table1[[#This Row],[submission_date]],"DDDD")</f>
        <v>Wednesday</v>
      </c>
      <c r="I115" t="str">
        <f>TEXT(Table1[[#This Row],[submission_date]],"mmmm")</f>
        <v>August</v>
      </c>
      <c r="J115">
        <f>HOUR(Table1[[#This Row],[resolution_date]])</f>
        <v>13</v>
      </c>
      <c r="K115" t="s">
        <v>254</v>
      </c>
    </row>
    <row r="116" spans="1:11" x14ac:dyDescent="0.3">
      <c r="A116" t="s">
        <v>255</v>
      </c>
      <c r="B116" s="2">
        <v>45834.277258101851</v>
      </c>
      <c r="C116" s="2">
        <v>45834.880186099537</v>
      </c>
      <c r="D116" t="s">
        <v>8</v>
      </c>
      <c r="E116" t="s">
        <v>25</v>
      </c>
      <c r="F116" t="s">
        <v>16</v>
      </c>
      <c r="G116" s="5">
        <f>(Table1[[#This Row],[resolution_date]]-Table1[[#This Row],[submission_date]])*24</f>
        <v>14.470271944475826</v>
      </c>
      <c r="H116" t="str">
        <f>TEXT(Table1[[#This Row],[submission_date]],"DDDD")</f>
        <v>Thursday</v>
      </c>
      <c r="I116" t="str">
        <f>TEXT(Table1[[#This Row],[submission_date]],"mmmm")</f>
        <v>June</v>
      </c>
      <c r="J116">
        <f>HOUR(Table1[[#This Row],[resolution_date]])</f>
        <v>21</v>
      </c>
      <c r="K116" t="s">
        <v>256</v>
      </c>
    </row>
    <row r="117" spans="1:11" x14ac:dyDescent="0.3">
      <c r="A117" t="s">
        <v>257</v>
      </c>
      <c r="B117" s="2">
        <v>45904.00158491898</v>
      </c>
      <c r="C117" s="2">
        <v>45908.743611006947</v>
      </c>
      <c r="D117" t="s">
        <v>31</v>
      </c>
      <c r="E117" t="s">
        <v>55</v>
      </c>
      <c r="F117" t="s">
        <v>29</v>
      </c>
      <c r="G117" s="5">
        <f>(Table1[[#This Row],[resolution_date]]-Table1[[#This Row],[submission_date]])*24</f>
        <v>113.80862611118937</v>
      </c>
      <c r="H117" t="str">
        <f>TEXT(Table1[[#This Row],[submission_date]],"DDDD")</f>
        <v>Thursday</v>
      </c>
      <c r="I117" t="str">
        <f>TEXT(Table1[[#This Row],[submission_date]],"mmmm")</f>
        <v>September</v>
      </c>
      <c r="J117">
        <f>HOUR(Table1[[#This Row],[resolution_date]])</f>
        <v>17</v>
      </c>
      <c r="K117" t="s">
        <v>258</v>
      </c>
    </row>
    <row r="118" spans="1:11" x14ac:dyDescent="0.3">
      <c r="A118" t="s">
        <v>259</v>
      </c>
      <c r="B118" s="2">
        <v>45852.145348541664</v>
      </c>
      <c r="C118" s="2">
        <v>45853.493291354163</v>
      </c>
      <c r="D118" t="s">
        <v>13</v>
      </c>
      <c r="E118" t="s">
        <v>18</v>
      </c>
      <c r="F118" t="s">
        <v>16</v>
      </c>
      <c r="G118" s="5">
        <f>(Table1[[#This Row],[resolution_date]]-Table1[[#This Row],[submission_date]])*24</f>
        <v>32.350627499981783</v>
      </c>
      <c r="H118" t="str">
        <f>TEXT(Table1[[#This Row],[submission_date]],"DDDD")</f>
        <v>Monday</v>
      </c>
      <c r="I118" t="str">
        <f>TEXT(Table1[[#This Row],[submission_date]],"mmmm")</f>
        <v>July</v>
      </c>
      <c r="J118">
        <f>HOUR(Table1[[#This Row],[resolution_date]])</f>
        <v>11</v>
      </c>
      <c r="K118" t="s">
        <v>260</v>
      </c>
    </row>
    <row r="119" spans="1:11" x14ac:dyDescent="0.3">
      <c r="A119" t="s">
        <v>261</v>
      </c>
      <c r="B119" s="2">
        <v>45862.277817847222</v>
      </c>
      <c r="C119" s="2">
        <v>45864.09636747685</v>
      </c>
      <c r="D119" t="s">
        <v>31</v>
      </c>
      <c r="E119" t="s">
        <v>46</v>
      </c>
      <c r="F119" t="s">
        <v>16</v>
      </c>
      <c r="G119" s="5">
        <f>(Table1[[#This Row],[resolution_date]]-Table1[[#This Row],[submission_date]])*24</f>
        <v>43.64519111107802</v>
      </c>
      <c r="H119" t="str">
        <f>TEXT(Table1[[#This Row],[submission_date]],"DDDD")</f>
        <v>Thursday</v>
      </c>
      <c r="I119" t="str">
        <f>TEXT(Table1[[#This Row],[submission_date]],"mmmm")</f>
        <v>July</v>
      </c>
      <c r="J119">
        <f>HOUR(Table1[[#This Row],[resolution_date]])</f>
        <v>2</v>
      </c>
      <c r="K119" t="s">
        <v>262</v>
      </c>
    </row>
    <row r="120" spans="1:11" x14ac:dyDescent="0.3">
      <c r="A120" t="s">
        <v>263</v>
      </c>
      <c r="B120" s="2">
        <v>45872.946095937499</v>
      </c>
      <c r="C120" s="2">
        <v>45879.541631354165</v>
      </c>
      <c r="D120" t="s">
        <v>80</v>
      </c>
      <c r="E120" t="s">
        <v>32</v>
      </c>
      <c r="F120" t="s">
        <v>29</v>
      </c>
      <c r="G120" s="5">
        <f>(Table1[[#This Row],[resolution_date]]-Table1[[#This Row],[submission_date]])*24</f>
        <v>158.29284999996889</v>
      </c>
      <c r="H120" t="str">
        <f>TEXT(Table1[[#This Row],[submission_date]],"DDDD")</f>
        <v>Sunday</v>
      </c>
      <c r="I120" t="str">
        <f>TEXT(Table1[[#This Row],[submission_date]],"mmmm")</f>
        <v>August</v>
      </c>
      <c r="J120">
        <f>HOUR(Table1[[#This Row],[resolution_date]])</f>
        <v>12</v>
      </c>
      <c r="K120" t="s">
        <v>264</v>
      </c>
    </row>
    <row r="121" spans="1:11" x14ac:dyDescent="0.3">
      <c r="A121" t="s">
        <v>265</v>
      </c>
      <c r="B121" s="2">
        <v>45850.010814976849</v>
      </c>
      <c r="C121" s="2">
        <v>45850.795333125003</v>
      </c>
      <c r="D121" t="s">
        <v>21</v>
      </c>
      <c r="E121" t="s">
        <v>14</v>
      </c>
      <c r="F121" t="s">
        <v>16</v>
      </c>
      <c r="G121" s="5">
        <f>(Table1[[#This Row],[resolution_date]]-Table1[[#This Row],[submission_date]])*24</f>
        <v>18.828435555682518</v>
      </c>
      <c r="H121" t="str">
        <f>TEXT(Table1[[#This Row],[submission_date]],"DDDD")</f>
        <v>Saturday</v>
      </c>
      <c r="I121" t="str">
        <f>TEXT(Table1[[#This Row],[submission_date]],"mmmm")</f>
        <v>July</v>
      </c>
      <c r="J121">
        <f>HOUR(Table1[[#This Row],[resolution_date]])</f>
        <v>19</v>
      </c>
      <c r="K121" t="s">
        <v>266</v>
      </c>
    </row>
    <row r="122" spans="1:11" x14ac:dyDescent="0.3">
      <c r="A122" t="s">
        <v>267</v>
      </c>
      <c r="B122" s="2">
        <v>45857.543304513893</v>
      </c>
      <c r="C122" s="2">
        <v>45858.309298784719</v>
      </c>
      <c r="D122" t="s">
        <v>8</v>
      </c>
      <c r="E122" t="s">
        <v>25</v>
      </c>
      <c r="F122" t="s">
        <v>16</v>
      </c>
      <c r="G122" s="5">
        <f>(Table1[[#This Row],[resolution_date]]-Table1[[#This Row],[submission_date]])*24</f>
        <v>18.383862499846146</v>
      </c>
      <c r="H122" t="str">
        <f>TEXT(Table1[[#This Row],[submission_date]],"DDDD")</f>
        <v>Saturday</v>
      </c>
      <c r="I122" t="str">
        <f>TEXT(Table1[[#This Row],[submission_date]],"mmmm")</f>
        <v>July</v>
      </c>
      <c r="J122">
        <f>HOUR(Table1[[#This Row],[resolution_date]])</f>
        <v>7</v>
      </c>
      <c r="K122" t="s">
        <v>268</v>
      </c>
    </row>
    <row r="123" spans="1:11" x14ac:dyDescent="0.3">
      <c r="A123" t="s">
        <v>269</v>
      </c>
      <c r="B123" s="2">
        <v>45837.839233402781</v>
      </c>
      <c r="C123" s="2">
        <v>45838.438694236109</v>
      </c>
      <c r="D123" t="s">
        <v>31</v>
      </c>
      <c r="E123" t="s">
        <v>42</v>
      </c>
      <c r="F123" t="s">
        <v>16</v>
      </c>
      <c r="G123" s="5">
        <f>(Table1[[#This Row],[resolution_date]]-Table1[[#This Row],[submission_date]])*24</f>
        <v>14.387059999862686</v>
      </c>
      <c r="H123" t="str">
        <f>TEXT(Table1[[#This Row],[submission_date]],"DDDD")</f>
        <v>Sunday</v>
      </c>
      <c r="I123" t="str">
        <f>TEXT(Table1[[#This Row],[submission_date]],"mmmm")</f>
        <v>June</v>
      </c>
      <c r="J123">
        <f>HOUR(Table1[[#This Row],[resolution_date]])</f>
        <v>10</v>
      </c>
      <c r="K123" t="s">
        <v>270</v>
      </c>
    </row>
    <row r="124" spans="1:11" x14ac:dyDescent="0.3">
      <c r="A124" t="s">
        <v>271</v>
      </c>
      <c r="B124" s="2">
        <v>45867.618249085652</v>
      </c>
      <c r="C124" s="2">
        <v>45868.392216446759</v>
      </c>
      <c r="D124" t="s">
        <v>13</v>
      </c>
      <c r="E124" t="s">
        <v>9</v>
      </c>
      <c r="F124" t="s">
        <v>16</v>
      </c>
      <c r="G124" s="5">
        <f>(Table1[[#This Row],[resolution_date]]-Table1[[#This Row],[submission_date]])*24</f>
        <v>18.575216666562483</v>
      </c>
      <c r="H124" t="str">
        <f>TEXT(Table1[[#This Row],[submission_date]],"DDDD")</f>
        <v>Tuesday</v>
      </c>
      <c r="I124" t="str">
        <f>TEXT(Table1[[#This Row],[submission_date]],"mmmm")</f>
        <v>July</v>
      </c>
      <c r="J124">
        <f>HOUR(Table1[[#This Row],[resolution_date]])</f>
        <v>9</v>
      </c>
      <c r="K124" t="s">
        <v>272</v>
      </c>
    </row>
    <row r="125" spans="1:11" x14ac:dyDescent="0.3">
      <c r="A125" t="s">
        <v>273</v>
      </c>
      <c r="B125" s="2">
        <v>45888.049664409722</v>
      </c>
      <c r="C125" s="2">
        <v>45889.796211516201</v>
      </c>
      <c r="D125" t="s">
        <v>45</v>
      </c>
      <c r="E125" t="s">
        <v>14</v>
      </c>
      <c r="F125" t="s">
        <v>16</v>
      </c>
      <c r="G125" s="5">
        <f>(Table1[[#This Row],[resolution_date]]-Table1[[#This Row],[submission_date]])*24</f>
        <v>41.917130555491894</v>
      </c>
      <c r="H125" t="str">
        <f>TEXT(Table1[[#This Row],[submission_date]],"DDDD")</f>
        <v>Tuesday</v>
      </c>
      <c r="I125" t="str">
        <f>TEXT(Table1[[#This Row],[submission_date]],"mmmm")</f>
        <v>August</v>
      </c>
      <c r="J125">
        <f>HOUR(Table1[[#This Row],[resolution_date]])</f>
        <v>19</v>
      </c>
      <c r="K125" t="s">
        <v>274</v>
      </c>
    </row>
    <row r="126" spans="1:11" x14ac:dyDescent="0.3">
      <c r="A126" t="s">
        <v>275</v>
      </c>
      <c r="B126" s="2">
        <v>45833.252764166667</v>
      </c>
      <c r="C126" s="2">
        <v>45833.782323101848</v>
      </c>
      <c r="D126" t="s">
        <v>80</v>
      </c>
      <c r="E126" t="s">
        <v>55</v>
      </c>
      <c r="F126" t="s">
        <v>16</v>
      </c>
      <c r="G126" s="5">
        <f>(Table1[[#This Row],[resolution_date]]-Table1[[#This Row],[submission_date]])*24</f>
        <v>12.709414444339927</v>
      </c>
      <c r="H126" t="str">
        <f>TEXT(Table1[[#This Row],[submission_date]],"DDDD")</f>
        <v>Wednesday</v>
      </c>
      <c r="I126" t="str">
        <f>TEXT(Table1[[#This Row],[submission_date]],"mmmm")</f>
        <v>June</v>
      </c>
      <c r="J126">
        <f>HOUR(Table1[[#This Row],[resolution_date]])</f>
        <v>18</v>
      </c>
      <c r="K126" t="s">
        <v>276</v>
      </c>
    </row>
    <row r="127" spans="1:11" x14ac:dyDescent="0.3">
      <c r="A127" t="s">
        <v>277</v>
      </c>
      <c r="B127" s="2">
        <v>45871.769415833332</v>
      </c>
      <c r="C127" s="2">
        <v>45872.507896226853</v>
      </c>
      <c r="D127" t="s">
        <v>80</v>
      </c>
      <c r="E127" t="s">
        <v>22</v>
      </c>
      <c r="F127" t="s">
        <v>16</v>
      </c>
      <c r="G127" s="5">
        <f>(Table1[[#This Row],[resolution_date]]-Table1[[#This Row],[submission_date]])*24</f>
        <v>17.723529444483574</v>
      </c>
      <c r="H127" t="str">
        <f>TEXT(Table1[[#This Row],[submission_date]],"DDDD")</f>
        <v>Saturday</v>
      </c>
      <c r="I127" t="str">
        <f>TEXT(Table1[[#This Row],[submission_date]],"mmmm")</f>
        <v>August</v>
      </c>
      <c r="J127">
        <f>HOUR(Table1[[#This Row],[resolution_date]])</f>
        <v>12</v>
      </c>
      <c r="K127" t="s">
        <v>278</v>
      </c>
    </row>
    <row r="128" spans="1:11" x14ac:dyDescent="0.3">
      <c r="A128" t="s">
        <v>279</v>
      </c>
      <c r="B128" s="2">
        <v>45895.01577233796</v>
      </c>
      <c r="C128" s="2">
        <v>45898.961600011571</v>
      </c>
      <c r="D128" t="s">
        <v>21</v>
      </c>
      <c r="E128" t="s">
        <v>32</v>
      </c>
      <c r="F128" t="s">
        <v>29</v>
      </c>
      <c r="G128" s="5">
        <f>(Table1[[#This Row],[resolution_date]]-Table1[[#This Row],[submission_date]])*24</f>
        <v>94.699864166672342</v>
      </c>
      <c r="H128" t="str">
        <f>TEXT(Table1[[#This Row],[submission_date]],"DDDD")</f>
        <v>Tuesday</v>
      </c>
      <c r="I128" t="str">
        <f>TEXT(Table1[[#This Row],[submission_date]],"mmmm")</f>
        <v>August</v>
      </c>
      <c r="J128">
        <f>HOUR(Table1[[#This Row],[resolution_date]])</f>
        <v>23</v>
      </c>
      <c r="K128" t="s">
        <v>280</v>
      </c>
    </row>
    <row r="129" spans="1:11" x14ac:dyDescent="0.3">
      <c r="A129" t="s">
        <v>281</v>
      </c>
      <c r="B129" s="2">
        <v>45855.641187476853</v>
      </c>
      <c r="C129" s="2">
        <v>45860.058005162035</v>
      </c>
      <c r="D129" t="s">
        <v>13</v>
      </c>
      <c r="E129" t="s">
        <v>55</v>
      </c>
      <c r="F129" t="s">
        <v>29</v>
      </c>
      <c r="G129" s="5">
        <f>(Table1[[#This Row],[resolution_date]]-Table1[[#This Row],[submission_date]])*24</f>
        <v>106.00362444436178</v>
      </c>
      <c r="H129" t="str">
        <f>TEXT(Table1[[#This Row],[submission_date]],"DDDD")</f>
        <v>Thursday</v>
      </c>
      <c r="I129" t="str">
        <f>TEXT(Table1[[#This Row],[submission_date]],"mmmm")</f>
        <v>July</v>
      </c>
      <c r="J129">
        <f>HOUR(Table1[[#This Row],[resolution_date]])</f>
        <v>1</v>
      </c>
      <c r="K129" t="s">
        <v>282</v>
      </c>
    </row>
    <row r="130" spans="1:11" x14ac:dyDescent="0.3">
      <c r="A130" t="s">
        <v>283</v>
      </c>
      <c r="B130" s="2">
        <v>45909.709815717593</v>
      </c>
      <c r="C130" s="2">
        <v>45910.054590312502</v>
      </c>
      <c r="D130" t="s">
        <v>45</v>
      </c>
      <c r="E130" t="s">
        <v>18</v>
      </c>
      <c r="F130" t="s">
        <v>11</v>
      </c>
      <c r="G130" s="5">
        <f>(Table1[[#This Row],[resolution_date]]-Table1[[#This Row],[submission_date]])*24</f>
        <v>8.2745902778115124</v>
      </c>
      <c r="H130" t="str">
        <f>TEXT(Table1[[#This Row],[submission_date]],"DDDD")</f>
        <v>Tuesday</v>
      </c>
      <c r="I130" t="str">
        <f>TEXT(Table1[[#This Row],[submission_date]],"mmmm")</f>
        <v>September</v>
      </c>
      <c r="J130">
        <f>HOUR(Table1[[#This Row],[resolution_date]])</f>
        <v>1</v>
      </c>
      <c r="K130" t="s">
        <v>284</v>
      </c>
    </row>
    <row r="131" spans="1:11" x14ac:dyDescent="0.3">
      <c r="A131" t="s">
        <v>285</v>
      </c>
      <c r="B131" s="2">
        <v>45906.729388576387</v>
      </c>
      <c r="C131" s="2">
        <v>45908.672971944441</v>
      </c>
      <c r="D131" t="s">
        <v>8</v>
      </c>
      <c r="E131" t="s">
        <v>14</v>
      </c>
      <c r="F131" t="s">
        <v>16</v>
      </c>
      <c r="G131" s="5">
        <f>(Table1[[#This Row],[resolution_date]]-Table1[[#This Row],[submission_date]])*24</f>
        <v>46.64600083330879</v>
      </c>
      <c r="H131" t="str">
        <f>TEXT(Table1[[#This Row],[submission_date]],"DDDD")</f>
        <v>Saturday</v>
      </c>
      <c r="I131" t="str">
        <f>TEXT(Table1[[#This Row],[submission_date]],"mmmm")</f>
        <v>September</v>
      </c>
      <c r="J131">
        <f>HOUR(Table1[[#This Row],[resolution_date]])</f>
        <v>16</v>
      </c>
      <c r="K131" t="s">
        <v>286</v>
      </c>
    </row>
    <row r="132" spans="1:11" x14ac:dyDescent="0.3">
      <c r="A132" t="s">
        <v>287</v>
      </c>
      <c r="B132" s="2">
        <v>45910.871020706021</v>
      </c>
      <c r="C132" s="2">
        <v>45912.692476354168</v>
      </c>
      <c r="D132" t="s">
        <v>80</v>
      </c>
      <c r="E132" t="s">
        <v>35</v>
      </c>
      <c r="F132" t="s">
        <v>29</v>
      </c>
      <c r="G132" s="5">
        <f>(Table1[[#This Row],[resolution_date]]-Table1[[#This Row],[submission_date]])*24</f>
        <v>43.714935555530246</v>
      </c>
      <c r="H132" t="str">
        <f>TEXT(Table1[[#This Row],[submission_date]],"DDDD")</f>
        <v>Wednesday</v>
      </c>
      <c r="I132" t="str">
        <f>TEXT(Table1[[#This Row],[submission_date]],"mmmm")</f>
        <v>September</v>
      </c>
      <c r="J132">
        <f>HOUR(Table1[[#This Row],[resolution_date]])</f>
        <v>16</v>
      </c>
      <c r="K132" t="s">
        <v>288</v>
      </c>
    </row>
    <row r="133" spans="1:11" x14ac:dyDescent="0.3">
      <c r="A133" t="s">
        <v>289</v>
      </c>
      <c r="B133" s="2">
        <v>45879.520755300924</v>
      </c>
      <c r="C133" s="2">
        <v>45883.389230601853</v>
      </c>
      <c r="D133" t="s">
        <v>80</v>
      </c>
      <c r="E133" t="s">
        <v>18</v>
      </c>
      <c r="F133" t="s">
        <v>29</v>
      </c>
      <c r="G133" s="5">
        <f>(Table1[[#This Row],[resolution_date]]-Table1[[#This Row],[submission_date]])*24</f>
        <v>92.843407222302631</v>
      </c>
      <c r="H133" t="str">
        <f>TEXT(Table1[[#This Row],[submission_date]],"DDDD")</f>
        <v>Sunday</v>
      </c>
      <c r="I133" t="str">
        <f>TEXT(Table1[[#This Row],[submission_date]],"mmmm")</f>
        <v>August</v>
      </c>
      <c r="J133">
        <f>HOUR(Table1[[#This Row],[resolution_date]])</f>
        <v>9</v>
      </c>
      <c r="K133" t="s">
        <v>290</v>
      </c>
    </row>
    <row r="134" spans="1:11" x14ac:dyDescent="0.3">
      <c r="A134" t="s">
        <v>291</v>
      </c>
      <c r="B134" s="2">
        <v>45907.109921354167</v>
      </c>
      <c r="C134" s="2">
        <v>45910.587372002316</v>
      </c>
      <c r="D134" t="s">
        <v>8</v>
      </c>
      <c r="E134" t="s">
        <v>42</v>
      </c>
      <c r="F134" t="s">
        <v>29</v>
      </c>
      <c r="G134" s="5">
        <f>(Table1[[#This Row],[resolution_date]]-Table1[[#This Row],[submission_date]])*24</f>
        <v>83.458815555553883</v>
      </c>
      <c r="H134" t="str">
        <f>TEXT(Table1[[#This Row],[submission_date]],"DDDD")</f>
        <v>Sunday</v>
      </c>
      <c r="I134" t="str">
        <f>TEXT(Table1[[#This Row],[submission_date]],"mmmm")</f>
        <v>September</v>
      </c>
      <c r="J134">
        <f>HOUR(Table1[[#This Row],[resolution_date]])</f>
        <v>14</v>
      </c>
      <c r="K134" t="s">
        <v>292</v>
      </c>
    </row>
    <row r="135" spans="1:11" x14ac:dyDescent="0.3">
      <c r="A135" t="s">
        <v>293</v>
      </c>
      <c r="B135" s="2">
        <v>45859.296687372684</v>
      </c>
      <c r="C135" s="2">
        <v>45859.711959270833</v>
      </c>
      <c r="D135" t="s">
        <v>31</v>
      </c>
      <c r="E135" t="s">
        <v>22</v>
      </c>
      <c r="F135" t="s">
        <v>11</v>
      </c>
      <c r="G135" s="5">
        <f>(Table1[[#This Row],[resolution_date]]-Table1[[#This Row],[submission_date]])*24</f>
        <v>9.966525555588305</v>
      </c>
      <c r="H135" t="str">
        <f>TEXT(Table1[[#This Row],[submission_date]],"DDDD")</f>
        <v>Monday</v>
      </c>
      <c r="I135" t="str">
        <f>TEXT(Table1[[#This Row],[submission_date]],"mmmm")</f>
        <v>July</v>
      </c>
      <c r="J135">
        <f>HOUR(Table1[[#This Row],[resolution_date]])</f>
        <v>17</v>
      </c>
      <c r="K135" t="s">
        <v>294</v>
      </c>
    </row>
    <row r="136" spans="1:11" x14ac:dyDescent="0.3">
      <c r="A136" t="s">
        <v>295</v>
      </c>
      <c r="B136" s="2">
        <v>45884.043633368055</v>
      </c>
      <c r="C136" s="2">
        <v>45891.026826423615</v>
      </c>
      <c r="D136" t="s">
        <v>8</v>
      </c>
      <c r="E136" t="s">
        <v>32</v>
      </c>
      <c r="F136" t="s">
        <v>29</v>
      </c>
      <c r="G136" s="5">
        <f>(Table1[[#This Row],[resolution_date]]-Table1[[#This Row],[submission_date]])*24</f>
        <v>167.59663333342178</v>
      </c>
      <c r="H136" t="str">
        <f>TEXT(Table1[[#This Row],[submission_date]],"DDDD")</f>
        <v>Friday</v>
      </c>
      <c r="I136" t="str">
        <f>TEXT(Table1[[#This Row],[submission_date]],"mmmm")</f>
        <v>August</v>
      </c>
      <c r="J136">
        <f>HOUR(Table1[[#This Row],[resolution_date]])</f>
        <v>0</v>
      </c>
      <c r="K136" t="s">
        <v>296</v>
      </c>
    </row>
    <row r="137" spans="1:11" x14ac:dyDescent="0.3">
      <c r="A137" t="s">
        <v>297</v>
      </c>
      <c r="B137" s="2">
        <v>45832.24807454861</v>
      </c>
      <c r="C137" s="2">
        <v>45837.032086712963</v>
      </c>
      <c r="D137" t="s">
        <v>59</v>
      </c>
      <c r="E137" t="s">
        <v>35</v>
      </c>
      <c r="F137" t="s">
        <v>29</v>
      </c>
      <c r="G137" s="5">
        <f>(Table1[[#This Row],[resolution_date]]-Table1[[#This Row],[submission_date]])*24</f>
        <v>114.81629194447305</v>
      </c>
      <c r="H137" t="str">
        <f>TEXT(Table1[[#This Row],[submission_date]],"DDDD")</f>
        <v>Tuesday</v>
      </c>
      <c r="I137" t="str">
        <f>TEXT(Table1[[#This Row],[submission_date]],"mmmm")</f>
        <v>June</v>
      </c>
      <c r="J137">
        <f>HOUR(Table1[[#This Row],[resolution_date]])</f>
        <v>0</v>
      </c>
      <c r="K137" t="s">
        <v>298</v>
      </c>
    </row>
    <row r="138" spans="1:11" x14ac:dyDescent="0.3">
      <c r="A138" t="s">
        <v>299</v>
      </c>
      <c r="B138" s="2">
        <v>45914.743208043983</v>
      </c>
      <c r="C138" s="2">
        <v>45917.991188726854</v>
      </c>
      <c r="D138" t="s">
        <v>21</v>
      </c>
      <c r="E138" t="s">
        <v>35</v>
      </c>
      <c r="F138" t="s">
        <v>29</v>
      </c>
      <c r="G138" s="5">
        <f>(Table1[[#This Row],[resolution_date]]-Table1[[#This Row],[submission_date]])*24</f>
        <v>77.951536388893146</v>
      </c>
      <c r="H138" t="str">
        <f>TEXT(Table1[[#This Row],[submission_date]],"DDDD")</f>
        <v>Sunday</v>
      </c>
      <c r="I138" t="str">
        <f>TEXT(Table1[[#This Row],[submission_date]],"mmmm")</f>
        <v>September</v>
      </c>
      <c r="J138">
        <f>HOUR(Table1[[#This Row],[resolution_date]])</f>
        <v>23</v>
      </c>
      <c r="K138" t="s">
        <v>300</v>
      </c>
    </row>
    <row r="139" spans="1:11" x14ac:dyDescent="0.3">
      <c r="A139" t="s">
        <v>301</v>
      </c>
      <c r="B139" s="2">
        <v>45837.385131631941</v>
      </c>
      <c r="C139" s="2">
        <v>45838.970033020836</v>
      </c>
      <c r="D139" t="s">
        <v>21</v>
      </c>
      <c r="E139" t="s">
        <v>14</v>
      </c>
      <c r="F139" t="s">
        <v>29</v>
      </c>
      <c r="G139" s="5">
        <f>(Table1[[#This Row],[resolution_date]]-Table1[[#This Row],[submission_date]])*24</f>
        <v>38.037633333471604</v>
      </c>
      <c r="H139" t="str">
        <f>TEXT(Table1[[#This Row],[submission_date]],"DDDD")</f>
        <v>Sunday</v>
      </c>
      <c r="I139" t="str">
        <f>TEXT(Table1[[#This Row],[submission_date]],"mmmm")</f>
        <v>June</v>
      </c>
      <c r="J139">
        <f>HOUR(Table1[[#This Row],[resolution_date]])</f>
        <v>23</v>
      </c>
      <c r="K139" t="s">
        <v>302</v>
      </c>
    </row>
    <row r="140" spans="1:11" x14ac:dyDescent="0.3">
      <c r="A140" t="s">
        <v>303</v>
      </c>
      <c r="B140" s="2">
        <v>45888.557472025466</v>
      </c>
      <c r="C140" s="2">
        <v>45889.528593067131</v>
      </c>
      <c r="D140" t="s">
        <v>13</v>
      </c>
      <c r="E140" t="s">
        <v>9</v>
      </c>
      <c r="F140" t="s">
        <v>16</v>
      </c>
      <c r="G140" s="5">
        <f>(Table1[[#This Row],[resolution_date]]-Table1[[#This Row],[submission_date]])*24</f>
        <v>23.30690499994671</v>
      </c>
      <c r="H140" t="str">
        <f>TEXT(Table1[[#This Row],[submission_date]],"DDDD")</f>
        <v>Tuesday</v>
      </c>
      <c r="I140" t="str">
        <f>TEXT(Table1[[#This Row],[submission_date]],"mmmm")</f>
        <v>August</v>
      </c>
      <c r="J140">
        <f>HOUR(Table1[[#This Row],[resolution_date]])</f>
        <v>12</v>
      </c>
      <c r="K140" t="s">
        <v>304</v>
      </c>
    </row>
    <row r="141" spans="1:11" x14ac:dyDescent="0.3">
      <c r="A141" t="s">
        <v>305</v>
      </c>
      <c r="B141" s="2">
        <v>45890.610338888888</v>
      </c>
      <c r="C141" s="2">
        <v>45896.433827546294</v>
      </c>
      <c r="D141" t="s">
        <v>45</v>
      </c>
      <c r="E141" t="s">
        <v>35</v>
      </c>
      <c r="F141" t="s">
        <v>29</v>
      </c>
      <c r="G141" s="5">
        <f>(Table1[[#This Row],[resolution_date]]-Table1[[#This Row],[submission_date]])*24</f>
        <v>139.76372777775396</v>
      </c>
      <c r="H141" t="str">
        <f>TEXT(Table1[[#This Row],[submission_date]],"DDDD")</f>
        <v>Thursday</v>
      </c>
      <c r="I141" t="str">
        <f>TEXT(Table1[[#This Row],[submission_date]],"mmmm")</f>
        <v>August</v>
      </c>
      <c r="J141">
        <f>HOUR(Table1[[#This Row],[resolution_date]])</f>
        <v>10</v>
      </c>
      <c r="K141" t="s">
        <v>306</v>
      </c>
    </row>
    <row r="142" spans="1:11" x14ac:dyDescent="0.3">
      <c r="A142" t="s">
        <v>307</v>
      </c>
      <c r="B142" s="2">
        <v>45874.456965682868</v>
      </c>
      <c r="C142" s="2">
        <v>45875.076861180554</v>
      </c>
      <c r="D142" t="s">
        <v>21</v>
      </c>
      <c r="E142" t="s">
        <v>46</v>
      </c>
      <c r="F142" t="s">
        <v>16</v>
      </c>
      <c r="G142" s="5">
        <f>(Table1[[#This Row],[resolution_date]]-Table1[[#This Row],[submission_date]])*24</f>
        <v>14.877491944469512</v>
      </c>
      <c r="H142" t="str">
        <f>TEXT(Table1[[#This Row],[submission_date]],"DDDD")</f>
        <v>Tuesday</v>
      </c>
      <c r="I142" t="str">
        <f>TEXT(Table1[[#This Row],[submission_date]],"mmmm")</f>
        <v>August</v>
      </c>
      <c r="J142">
        <f>HOUR(Table1[[#This Row],[resolution_date]])</f>
        <v>1</v>
      </c>
      <c r="K142" t="s">
        <v>308</v>
      </c>
    </row>
    <row r="143" spans="1:11" x14ac:dyDescent="0.3">
      <c r="A143" t="s">
        <v>309</v>
      </c>
      <c r="B143" s="2">
        <v>45887.431979837966</v>
      </c>
      <c r="C143" s="2">
        <v>45887.968167638886</v>
      </c>
      <c r="D143" t="s">
        <v>21</v>
      </c>
      <c r="E143" t="s">
        <v>9</v>
      </c>
      <c r="F143" t="s">
        <v>16</v>
      </c>
      <c r="G143" s="5">
        <f>(Table1[[#This Row],[resolution_date]]-Table1[[#This Row],[submission_date]])*24</f>
        <v>12.868507222097833</v>
      </c>
      <c r="H143" t="str">
        <f>TEXT(Table1[[#This Row],[submission_date]],"DDDD")</f>
        <v>Monday</v>
      </c>
      <c r="I143" t="str">
        <f>TEXT(Table1[[#This Row],[submission_date]],"mmmm")</f>
        <v>August</v>
      </c>
      <c r="J143">
        <f>HOUR(Table1[[#This Row],[resolution_date]])</f>
        <v>23</v>
      </c>
      <c r="K143" t="s">
        <v>310</v>
      </c>
    </row>
    <row r="144" spans="1:11" x14ac:dyDescent="0.3">
      <c r="A144" t="s">
        <v>311</v>
      </c>
      <c r="B144" s="2">
        <v>45913.681012118053</v>
      </c>
      <c r="C144" s="2">
        <v>45914.899067337959</v>
      </c>
      <c r="D144" t="s">
        <v>45</v>
      </c>
      <c r="E144" t="s">
        <v>25</v>
      </c>
      <c r="F144" t="s">
        <v>16</v>
      </c>
      <c r="G144" s="5">
        <f>(Table1[[#This Row],[resolution_date]]-Table1[[#This Row],[submission_date]])*24</f>
        <v>29.233325277746189</v>
      </c>
      <c r="H144" t="str">
        <f>TEXT(Table1[[#This Row],[submission_date]],"DDDD")</f>
        <v>Saturday</v>
      </c>
      <c r="I144" t="str">
        <f>TEXT(Table1[[#This Row],[submission_date]],"mmmm")</f>
        <v>September</v>
      </c>
      <c r="J144">
        <f>HOUR(Table1[[#This Row],[resolution_date]])</f>
        <v>21</v>
      </c>
      <c r="K144" t="s">
        <v>312</v>
      </c>
    </row>
    <row r="145" spans="1:11" x14ac:dyDescent="0.3">
      <c r="A145" t="s">
        <v>313</v>
      </c>
      <c r="B145" s="2">
        <v>45872.284382627317</v>
      </c>
      <c r="C145" s="2">
        <v>45875.951124525462</v>
      </c>
      <c r="D145" t="s">
        <v>21</v>
      </c>
      <c r="E145" t="s">
        <v>22</v>
      </c>
      <c r="F145" t="s">
        <v>29</v>
      </c>
      <c r="G145" s="5">
        <f>(Table1[[#This Row],[resolution_date]]-Table1[[#This Row],[submission_date]])*24</f>
        <v>88.001805555482861</v>
      </c>
      <c r="H145" t="str">
        <f>TEXT(Table1[[#This Row],[submission_date]],"DDDD")</f>
        <v>Sunday</v>
      </c>
      <c r="I145" t="str">
        <f>TEXT(Table1[[#This Row],[submission_date]],"mmmm")</f>
        <v>August</v>
      </c>
      <c r="J145">
        <f>HOUR(Table1[[#This Row],[resolution_date]])</f>
        <v>22</v>
      </c>
      <c r="K145" t="s">
        <v>314</v>
      </c>
    </row>
    <row r="146" spans="1:11" x14ac:dyDescent="0.3">
      <c r="A146" t="s">
        <v>315</v>
      </c>
      <c r="B146" s="2">
        <v>45835.128006678242</v>
      </c>
      <c r="C146" s="2">
        <v>45835.63756747685</v>
      </c>
      <c r="D146" t="s">
        <v>13</v>
      </c>
      <c r="E146" t="s">
        <v>46</v>
      </c>
      <c r="F146" t="s">
        <v>16</v>
      </c>
      <c r="G146" s="5">
        <f>(Table1[[#This Row],[resolution_date]]-Table1[[#This Row],[submission_date]])*24</f>
        <v>12.229459166585002</v>
      </c>
      <c r="H146" t="str">
        <f>TEXT(Table1[[#This Row],[submission_date]],"DDDD")</f>
        <v>Friday</v>
      </c>
      <c r="I146" t="str">
        <f>TEXT(Table1[[#This Row],[submission_date]],"mmmm")</f>
        <v>June</v>
      </c>
      <c r="J146">
        <f>HOUR(Table1[[#This Row],[resolution_date]])</f>
        <v>15</v>
      </c>
      <c r="K146" t="s">
        <v>316</v>
      </c>
    </row>
    <row r="147" spans="1:11" x14ac:dyDescent="0.3">
      <c r="A147" t="s">
        <v>317</v>
      </c>
      <c r="B147" s="2">
        <v>45900.65947421296</v>
      </c>
      <c r="C147" s="2">
        <v>45900.743211898145</v>
      </c>
      <c r="D147" t="s">
        <v>80</v>
      </c>
      <c r="E147" t="s">
        <v>22</v>
      </c>
      <c r="F147" t="s">
        <v>114</v>
      </c>
      <c r="G147" s="5">
        <f>(Table1[[#This Row],[resolution_date]]-Table1[[#This Row],[submission_date]])*24</f>
        <v>2.009704444441013</v>
      </c>
      <c r="H147" t="str">
        <f>TEXT(Table1[[#This Row],[submission_date]],"DDDD")</f>
        <v>Sunday</v>
      </c>
      <c r="I147" t="str">
        <f>TEXT(Table1[[#This Row],[submission_date]],"mmmm")</f>
        <v>August</v>
      </c>
      <c r="J147">
        <f>HOUR(Table1[[#This Row],[resolution_date]])</f>
        <v>17</v>
      </c>
      <c r="K147" t="s">
        <v>318</v>
      </c>
    </row>
    <row r="148" spans="1:11" x14ac:dyDescent="0.3">
      <c r="A148" t="s">
        <v>319</v>
      </c>
      <c r="B148" s="2">
        <v>45832.460665983795</v>
      </c>
      <c r="C148" s="2">
        <v>45832.787722476853</v>
      </c>
      <c r="D148" t="s">
        <v>45</v>
      </c>
      <c r="E148" t="s">
        <v>35</v>
      </c>
      <c r="F148" t="s">
        <v>11</v>
      </c>
      <c r="G148" s="5">
        <f>(Table1[[#This Row],[resolution_date]]-Table1[[#This Row],[submission_date]])*24</f>
        <v>7.8493558333721012</v>
      </c>
      <c r="H148" t="str">
        <f>TEXT(Table1[[#This Row],[submission_date]],"DDDD")</f>
        <v>Tuesday</v>
      </c>
      <c r="I148" t="str">
        <f>TEXT(Table1[[#This Row],[submission_date]],"mmmm")</f>
        <v>June</v>
      </c>
      <c r="J148">
        <f>HOUR(Table1[[#This Row],[resolution_date]])</f>
        <v>18</v>
      </c>
      <c r="K148" t="s">
        <v>320</v>
      </c>
    </row>
    <row r="149" spans="1:11" x14ac:dyDescent="0.3">
      <c r="A149" t="s">
        <v>321</v>
      </c>
      <c r="B149" s="2">
        <v>45902.70604621528</v>
      </c>
      <c r="C149" s="2">
        <v>45906.209134826386</v>
      </c>
      <c r="D149" t="s">
        <v>59</v>
      </c>
      <c r="E149" t="s">
        <v>22</v>
      </c>
      <c r="F149" t="s">
        <v>29</v>
      </c>
      <c r="G149" s="5">
        <f>(Table1[[#This Row],[resolution_date]]-Table1[[#This Row],[submission_date]])*24</f>
        <v>84.074126666528173</v>
      </c>
      <c r="H149" t="str">
        <f>TEXT(Table1[[#This Row],[submission_date]],"DDDD")</f>
        <v>Tuesday</v>
      </c>
      <c r="I149" t="str">
        <f>TEXT(Table1[[#This Row],[submission_date]],"mmmm")</f>
        <v>September</v>
      </c>
      <c r="J149">
        <f>HOUR(Table1[[#This Row],[resolution_date]])</f>
        <v>5</v>
      </c>
      <c r="K149" t="s">
        <v>322</v>
      </c>
    </row>
    <row r="150" spans="1:11" x14ac:dyDescent="0.3">
      <c r="A150" t="s">
        <v>323</v>
      </c>
      <c r="B150" s="2">
        <v>45854.598774027778</v>
      </c>
      <c r="C150" s="2">
        <v>45855.701526377314</v>
      </c>
      <c r="D150" t="s">
        <v>8</v>
      </c>
      <c r="E150" t="s">
        <v>42</v>
      </c>
      <c r="F150" t="s">
        <v>16</v>
      </c>
      <c r="G150" s="5">
        <f>(Table1[[#This Row],[resolution_date]]-Table1[[#This Row],[submission_date]])*24</f>
        <v>26.466056388861034</v>
      </c>
      <c r="H150" t="str">
        <f>TEXT(Table1[[#This Row],[submission_date]],"DDDD")</f>
        <v>Wednesday</v>
      </c>
      <c r="I150" t="str">
        <f>TEXT(Table1[[#This Row],[submission_date]],"mmmm")</f>
        <v>July</v>
      </c>
      <c r="J150">
        <f>HOUR(Table1[[#This Row],[resolution_date]])</f>
        <v>16</v>
      </c>
      <c r="K150" t="s">
        <v>324</v>
      </c>
    </row>
    <row r="151" spans="1:11" x14ac:dyDescent="0.3">
      <c r="A151" t="s">
        <v>325</v>
      </c>
      <c r="B151" s="2">
        <v>45869.175449467592</v>
      </c>
      <c r="C151" s="2">
        <v>45870.175988194445</v>
      </c>
      <c r="D151" t="s">
        <v>21</v>
      </c>
      <c r="E151" t="s">
        <v>9</v>
      </c>
      <c r="F151" t="s">
        <v>16</v>
      </c>
      <c r="G151" s="5">
        <f>(Table1[[#This Row],[resolution_date]]-Table1[[#This Row],[submission_date]])*24</f>
        <v>24.012929444492329</v>
      </c>
      <c r="H151" t="str">
        <f>TEXT(Table1[[#This Row],[submission_date]],"DDDD")</f>
        <v>Thursday</v>
      </c>
      <c r="I151" t="str">
        <f>TEXT(Table1[[#This Row],[submission_date]],"mmmm")</f>
        <v>July</v>
      </c>
      <c r="J151">
        <f>HOUR(Table1[[#This Row],[resolution_date]])</f>
        <v>4</v>
      </c>
      <c r="K151" t="s">
        <v>326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Dashboard</vt:lpstr>
      <vt:lpstr>Dashboard</vt:lpstr>
      <vt:lpstr>Detailed Analysis</vt:lpstr>
      <vt:lpstr>help_desk_tickets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 Chinna Babu</dc:creator>
  <cp:lastModifiedBy>Kona Chinna Babu</cp:lastModifiedBy>
  <dcterms:created xsi:type="dcterms:W3CDTF">2026-03-20T15:04:28Z</dcterms:created>
  <dcterms:modified xsi:type="dcterms:W3CDTF">2026-03-20T18:03:51Z</dcterms:modified>
</cp:coreProperties>
</file>