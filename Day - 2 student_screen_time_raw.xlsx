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e616fb103d57e9fc/Downloads/"/>
    </mc:Choice>
  </mc:AlternateContent>
  <xr:revisionPtr revIDLastSave="134" documentId="8_{CCFCBD6D-4DB6-483F-911D-B84F2BB30BFD}" xr6:coauthVersionLast="47" xr6:coauthVersionMax="47" xr10:uidLastSave="{2591B129-D57E-4D8D-AF3B-00FBB29FE5D3}"/>
  <bookViews>
    <workbookView xWindow="-113" yWindow="-113" windowWidth="24267" windowHeight="13023" activeTab="1" xr2:uid="{EAD4338B-6E6C-4EAB-A9FD-4BF6C10C290C}"/>
  </bookViews>
  <sheets>
    <sheet name="Pivot" sheetId="2" r:id="rId1"/>
    <sheet name="Dashboard" sheetId="3" r:id="rId2"/>
    <sheet name="student_screen_time_raw" sheetId="1" r:id="rId3"/>
  </sheets>
  <definedNames>
    <definedName name="_xlnm._FilterDatabase" localSheetId="2" hidden="1">student_screen_time_raw!$A$1:$H$1</definedName>
    <definedName name="Slicer_Age__Group">#N/A</definedName>
    <definedName name="Slicer_Screen_Category">#N/A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2" l="1"/>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4" i="2"/>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 i="1"/>
  <c r="D8" i="2"/>
  <c r="D9" i="2"/>
  <c r="D6" i="2"/>
  <c r="D7" i="2"/>
  <c r="D5" i="2"/>
  <c r="D13" i="2"/>
  <c r="D17" i="2"/>
  <c r="D21" i="2"/>
  <c r="D25" i="2"/>
  <c r="D29" i="2"/>
  <c r="D33" i="2"/>
  <c r="D37" i="2"/>
  <c r="D41" i="2"/>
  <c r="D45" i="2"/>
  <c r="D49" i="2"/>
  <c r="D53" i="2"/>
  <c r="D57" i="2"/>
  <c r="D61" i="2"/>
  <c r="D12" i="2"/>
  <c r="D10" i="2"/>
  <c r="D14" i="2"/>
  <c r="D18" i="2"/>
  <c r="D22" i="2"/>
  <c r="D26" i="2"/>
  <c r="D30" i="2"/>
  <c r="D34" i="2"/>
  <c r="D38" i="2"/>
  <c r="D42" i="2"/>
  <c r="D46" i="2"/>
  <c r="D50" i="2"/>
  <c r="D54" i="2"/>
  <c r="D58" i="2"/>
  <c r="D62" i="2"/>
  <c r="D16" i="2"/>
  <c r="D11" i="2"/>
  <c r="D15" i="2"/>
  <c r="D19" i="2"/>
  <c r="D23" i="2"/>
  <c r="D27" i="2"/>
  <c r="D31" i="2"/>
  <c r="D35" i="2"/>
  <c r="D39" i="2"/>
  <c r="D43" i="2"/>
  <c r="D47" i="2"/>
  <c r="D51" i="2"/>
  <c r="D55" i="2"/>
  <c r="D59" i="2"/>
  <c r="D63" i="2"/>
  <c r="D20" i="2"/>
  <c r="D24" i="2"/>
  <c r="D28" i="2"/>
  <c r="D32" i="2"/>
  <c r="D36" i="2"/>
  <c r="D40" i="2"/>
  <c r="D44" i="2"/>
  <c r="D48" i="2"/>
  <c r="D52" i="2"/>
  <c r="D56" i="2"/>
  <c r="D60" i="2"/>
  <c r="D64" i="2"/>
  <c r="D4" i="2"/>
</calcChain>
</file>

<file path=xl/sharedStrings.xml><?xml version="1.0" encoding="utf-8"?>
<sst xmlns="http://schemas.openxmlformats.org/spreadsheetml/2006/main" count="27" uniqueCount="18">
  <si>
    <t>Student_ID</t>
  </si>
  <si>
    <t>Age</t>
  </si>
  <si>
    <t>Study_Hours</t>
  </si>
  <si>
    <t>Screen_Time</t>
  </si>
  <si>
    <t>Test_Scores</t>
  </si>
  <si>
    <t>Extra_Curricular_Hours</t>
  </si>
  <si>
    <t>Screen_Category</t>
  </si>
  <si>
    <t>Age _Group</t>
  </si>
  <si>
    <t>High</t>
  </si>
  <si>
    <t>Low</t>
  </si>
  <si>
    <t>Grand Total</t>
  </si>
  <si>
    <t>Average of Screen_Time</t>
  </si>
  <si>
    <t>Avg Test Score by Screen Time</t>
  </si>
  <si>
    <t>Average of Extra_Curricular_Hours</t>
  </si>
  <si>
    <t>Screen Time vs Extra Activities</t>
  </si>
  <si>
    <t>Average of Test_Scores</t>
  </si>
  <si>
    <t xml:space="preserve">Age wise </t>
  </si>
  <si>
    <t>Sum of Test_Scores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</si>
</sst>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horizontal="center"/>
    </xf>
    <xf numFmtId="0" fontId="0" fillId="0" borderId="10" xfId="0" applyBorder="1" applyAlignment="1">
      <alignment horizontal="center" vertical="center"/>
    </xf>
    <xf numFmtId="0" fontId="0" fillId="0" borderId="10" xfId="0" applyBorder="1" applyAlignment="1">
      <alignment horizontal="center"/>
    </xf>
    <xf numFmtId="0" fontId="0" fillId="0" borderId="11" xfId="0" applyBorder="1" applyAlignment="1">
      <alignment horizontal="center" vertical="center"/>
    </xf>
    <xf numFmtId="0" fontId="0" fillId="0" borderId="0" xfId="0" pivotButton="1"/>
    <xf numFmtId="0" fontId="0" fillId="0" borderId="0" xfId="0" applyAlignment="1">
      <alignment horizontal="left"/>
    </xf>
    <xf numFmtId="2" fontId="0" fillId="0" borderId="0" xfId="0" applyNumberFormat="1"/>
    <xf numFmtId="0" fontId="0" fillId="33" borderId="0" xfId="0" applyFill="1" applyAlignment="1">
      <alignment horizontal="center"/>
    </xf>
    <xf numFmtId="0" fontId="16"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5">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ill>
        <patternFill>
          <bgColor rgb="FFFFFF00"/>
        </patternFill>
      </fill>
    </dxf>
    <dxf>
      <fill>
        <patternFill>
          <bgColor rgb="FFFF0000"/>
        </patternFill>
      </fill>
    </dxf>
    <dxf>
      <fill>
        <patternFill>
          <bgColor rgb="FFFF0000"/>
        </patternFill>
      </fill>
    </dxf>
    <dxf>
      <numFmt numFmtId="2" formatCode="0.00"/>
    </dxf>
    <dxf>
      <numFmt numFmtId="2" formatCode="0.00"/>
    </dxf>
    <dxf>
      <numFmt numFmtId="2" formatCode="0.00"/>
    </dxf>
    <dxf>
      <numFmt numFmtId="2" formatCode="0.00"/>
    </dxf>
  </dxfs>
  <tableStyles count="1" defaultTableStyle="TableStyleMedium2" defaultPivotStyle="PivotStyleLight16">
    <tableStyle name="Invisible" pivot="0" table="0" count="0" xr9:uid="{66E521F0-B927-4A67-9173-BC2F5624ECDA}"/>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[student_screen_time_raw(AutoRecovered).xlsx]Pivot!PivotTable1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Pivot!$G$3</c:f>
              <c:strCache>
                <c:ptCount val="1"/>
                <c:pt idx="0">
                  <c:v>Total</c:v>
                </c:pt>
              </c:strCache>
            </c:strRef>
          </c:tx>
          <c:spPr>
            <a:solidFill>
              <a:schemeClr val="accent1"/>
            </a:solidFill>
            <a:ln>
              <a:noFill/>
            </a:ln>
            <a:effectLst/>
          </c:spPr>
          <c:invertIfNegative val="0"/>
          <c:cat>
            <c:strRef>
              <c:f>Pivot!$F$4:$F$6</c:f>
              <c:strCache>
                <c:ptCount val="2"/>
                <c:pt idx="0">
                  <c:v>High</c:v>
                </c:pt>
                <c:pt idx="1">
                  <c:v>Low</c:v>
                </c:pt>
              </c:strCache>
            </c:strRef>
          </c:cat>
          <c:val>
            <c:numRef>
              <c:f>Pivot!$G$4:$G$6</c:f>
              <c:numCache>
                <c:formatCode>0.00</c:formatCode>
                <c:ptCount val="2"/>
                <c:pt idx="0">
                  <c:v>5.2303030303030296</c:v>
                </c:pt>
                <c:pt idx="1">
                  <c:v>2.8079207920792078</c:v>
                </c:pt>
              </c:numCache>
            </c:numRef>
          </c:val>
          <c:extLst>
            <c:ext xmlns:c16="http://schemas.microsoft.com/office/drawing/2014/chart" uri="{C3380CC4-5D6E-409C-BE32-E72D297353CC}">
              <c16:uniqueId val="{00000000-17E8-4DF5-B18F-CFEB29BEB6E1}"/>
            </c:ext>
          </c:extLst>
        </c:ser>
        <c:dLbls>
          <c:showLegendKey val="0"/>
          <c:showVal val="0"/>
          <c:showCatName val="0"/>
          <c:showSerName val="0"/>
          <c:showPercent val="0"/>
          <c:showBubbleSize val="0"/>
        </c:dLbls>
        <c:gapWidth val="219"/>
        <c:overlap val="-27"/>
        <c:axId val="467240096"/>
        <c:axId val="467241056"/>
      </c:barChart>
      <c:catAx>
        <c:axId val="46724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241056"/>
        <c:crosses val="autoZero"/>
        <c:auto val="1"/>
        <c:lblAlgn val="ctr"/>
        <c:lblOffset val="100"/>
        <c:noMultiLvlLbl val="0"/>
      </c:catAx>
      <c:valAx>
        <c:axId val="4672410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24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[student_screen_time_raw(AutoRecovered).xlsx]Pivot!PivotTable3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Pivot!$M$3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33-47D0-B851-5B70881C6F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33-47D0-B851-5B70881C6F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33-47D0-B851-5B70881C6F9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433-47D0-B851-5B70881C6F9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433-47D0-B851-5B70881C6F9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433-47D0-B851-5B70881C6F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Pivot!$L$4:$L$10</c:f>
              <c:strCache>
                <c:ptCount val="6"/>
                <c:pt idx="0">
                  <c:v>13</c:v>
                </c:pt>
                <c:pt idx="1">
                  <c:v>14</c:v>
                </c:pt>
                <c:pt idx="2">
                  <c:v>15</c:v>
                </c:pt>
                <c:pt idx="3">
                  <c:v>16</c:v>
                </c:pt>
                <c:pt idx="4">
                  <c:v>17</c:v>
                </c:pt>
                <c:pt idx="5">
                  <c:v>18</c:v>
                </c:pt>
              </c:strCache>
            </c:strRef>
          </c:cat>
          <c:val>
            <c:numRef>
              <c:f>Pivot!$M$4:$M$10</c:f>
              <c:numCache>
                <c:formatCode>0.00</c:formatCode>
                <c:ptCount val="6"/>
                <c:pt idx="0">
                  <c:v>71.955813953488374</c:v>
                </c:pt>
                <c:pt idx="1">
                  <c:v>72.578571428571422</c:v>
                </c:pt>
                <c:pt idx="2">
                  <c:v>70.959459459459453</c:v>
                </c:pt>
                <c:pt idx="3">
                  <c:v>70.591836734693871</c:v>
                </c:pt>
                <c:pt idx="4">
                  <c:v>66.297826086956519</c:v>
                </c:pt>
                <c:pt idx="5">
                  <c:v>72.230769230769226</c:v>
                </c:pt>
              </c:numCache>
            </c:numRef>
          </c:val>
          <c:extLst>
            <c:ext xmlns:c16="http://schemas.microsoft.com/office/drawing/2014/chart" uri="{C3380CC4-5D6E-409C-BE32-E72D297353CC}">
              <c16:uniqueId val="{0000000C-1433-47D0-B851-5B70881C6F9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[student_screen_time_raw(AutoRecovered).xlsx]Pivot!PivotTable2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Pivot!$J$3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AA-4CF3-B0E5-9F0795B4E0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AA-4CF3-B0E5-9F0795B4E02D}"/>
              </c:ext>
            </c:extLst>
          </c:dPt>
          <c:cat>
            <c:strRef>
              <c:f>Pivot!$I$4:$I$6</c:f>
              <c:strCache>
                <c:ptCount val="2"/>
                <c:pt idx="0">
                  <c:v>High</c:v>
                </c:pt>
                <c:pt idx="1">
                  <c:v>Low</c:v>
                </c:pt>
              </c:strCache>
            </c:strRef>
          </c:cat>
          <c:val>
            <c:numRef>
              <c:f>Pivot!$J$4:$J$6</c:f>
              <c:numCache>
                <c:formatCode>0.00</c:formatCode>
                <c:ptCount val="2"/>
                <c:pt idx="0">
                  <c:v>1.6404040404040408</c:v>
                </c:pt>
                <c:pt idx="1">
                  <c:v>1.440594059405941</c:v>
                </c:pt>
              </c:numCache>
            </c:numRef>
          </c:val>
          <c:extLst>
            <c:ext xmlns:c16="http://schemas.microsoft.com/office/drawing/2014/chart" uri="{C3380CC4-5D6E-409C-BE32-E72D297353CC}">
              <c16:uniqueId val="{00000004-C0AA-4CF3-B0E5-9F0795B4E02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[student_screen_time_raw(AutoRecovered).xlsx]Pivot!PivotTable6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c:f>
              <c:strCache>
                <c:ptCount val="1"/>
                <c:pt idx="0">
                  <c:v>Total</c:v>
                </c:pt>
              </c:strCache>
            </c:strRef>
          </c:tx>
          <c:spPr>
            <a:ln w="28575" cap="rnd">
              <a:solidFill>
                <a:schemeClr val="accent1"/>
              </a:solidFill>
              <a:round/>
            </a:ln>
            <a:effectLst/>
          </c:spPr>
          <c:marker>
            <c:symbol val="none"/>
          </c:marker>
          <c:cat>
            <c:strRef>
              <c:f>Pivot!$A$4:$A$64</c:f>
              <c:strCache>
                <c:ptCount val="60"/>
                <c:pt idx="0">
                  <c:v>0</c:v>
                </c:pt>
                <c:pt idx="1">
                  <c:v>0.2</c:v>
                </c:pt>
                <c:pt idx="2">
                  <c:v>0.5</c:v>
                </c:pt>
                <c:pt idx="3">
                  <c:v>0.9</c:v>
                </c:pt>
                <c:pt idx="4">
                  <c:v>1</c:v>
                </c:pt>
                <c:pt idx="5">
                  <c:v>1.2</c:v>
                </c:pt>
                <c:pt idx="6">
                  <c:v>1.5</c:v>
                </c:pt>
                <c:pt idx="7">
                  <c:v>1.6</c:v>
                </c:pt>
                <c:pt idx="8">
                  <c:v>1.7</c:v>
                </c:pt>
                <c:pt idx="9">
                  <c:v>1.8</c:v>
                </c:pt>
                <c:pt idx="10">
                  <c:v>1.9</c:v>
                </c:pt>
                <c:pt idx="11">
                  <c:v>2</c:v>
                </c:pt>
                <c:pt idx="12">
                  <c:v>2.1</c:v>
                </c:pt>
                <c:pt idx="13">
                  <c:v>2.2</c:v>
                </c:pt>
                <c:pt idx="14">
                  <c:v>2.3</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4.1</c:v>
                </c:pt>
                <c:pt idx="32">
                  <c:v>4.2</c:v>
                </c:pt>
                <c:pt idx="33">
                  <c:v>4.3</c:v>
                </c:pt>
                <c:pt idx="34">
                  <c:v>4.4</c:v>
                </c:pt>
                <c:pt idx="35">
                  <c:v>4.5</c:v>
                </c:pt>
                <c:pt idx="36">
                  <c:v>4.6</c:v>
                </c:pt>
                <c:pt idx="37">
                  <c:v>4.7</c:v>
                </c:pt>
                <c:pt idx="38">
                  <c:v>4.8</c:v>
                </c:pt>
                <c:pt idx="39">
                  <c:v>4.9</c:v>
                </c:pt>
                <c:pt idx="40">
                  <c:v>5</c:v>
                </c:pt>
                <c:pt idx="41">
                  <c:v>5.2</c:v>
                </c:pt>
                <c:pt idx="42">
                  <c:v>5.3</c:v>
                </c:pt>
                <c:pt idx="43">
                  <c:v>5.5</c:v>
                </c:pt>
                <c:pt idx="44">
                  <c:v>5.6</c:v>
                </c:pt>
                <c:pt idx="45">
                  <c:v>5.7</c:v>
                </c:pt>
                <c:pt idx="46">
                  <c:v>5.8</c:v>
                </c:pt>
                <c:pt idx="47">
                  <c:v>6</c:v>
                </c:pt>
                <c:pt idx="48">
                  <c:v>6.1</c:v>
                </c:pt>
                <c:pt idx="49">
                  <c:v>6.2</c:v>
                </c:pt>
                <c:pt idx="50">
                  <c:v>6.4</c:v>
                </c:pt>
                <c:pt idx="51">
                  <c:v>6.5</c:v>
                </c:pt>
                <c:pt idx="52">
                  <c:v>6.7</c:v>
                </c:pt>
                <c:pt idx="53">
                  <c:v>6.9</c:v>
                </c:pt>
                <c:pt idx="54">
                  <c:v>7</c:v>
                </c:pt>
                <c:pt idx="55">
                  <c:v>7.1</c:v>
                </c:pt>
                <c:pt idx="56">
                  <c:v>7.5</c:v>
                </c:pt>
                <c:pt idx="57">
                  <c:v>7.6</c:v>
                </c:pt>
                <c:pt idx="58">
                  <c:v>7.8</c:v>
                </c:pt>
                <c:pt idx="59">
                  <c:v>7.9</c:v>
                </c:pt>
              </c:strCache>
            </c:strRef>
          </c:cat>
          <c:val>
            <c:numRef>
              <c:f>Pivot!$B$4:$B$64</c:f>
              <c:numCache>
                <c:formatCode>0.00</c:formatCode>
                <c:ptCount val="60"/>
                <c:pt idx="0">
                  <c:v>64</c:v>
                </c:pt>
                <c:pt idx="1">
                  <c:v>77.599999999999994</c:v>
                </c:pt>
                <c:pt idx="2">
                  <c:v>62.5</c:v>
                </c:pt>
                <c:pt idx="3">
                  <c:v>70.099999999999994</c:v>
                </c:pt>
                <c:pt idx="4">
                  <c:v>69.3</c:v>
                </c:pt>
                <c:pt idx="5">
                  <c:v>125.5</c:v>
                </c:pt>
                <c:pt idx="6">
                  <c:v>150.9</c:v>
                </c:pt>
                <c:pt idx="7">
                  <c:v>156.9</c:v>
                </c:pt>
                <c:pt idx="8">
                  <c:v>275.09999999999997</c:v>
                </c:pt>
                <c:pt idx="9">
                  <c:v>142</c:v>
                </c:pt>
                <c:pt idx="10">
                  <c:v>134.25</c:v>
                </c:pt>
                <c:pt idx="11">
                  <c:v>302.10000000000002</c:v>
                </c:pt>
                <c:pt idx="12">
                  <c:v>61</c:v>
                </c:pt>
                <c:pt idx="13">
                  <c:v>286.70000000000005</c:v>
                </c:pt>
                <c:pt idx="14">
                  <c:v>151.05000000000001</c:v>
                </c:pt>
                <c:pt idx="15">
                  <c:v>141.4</c:v>
                </c:pt>
                <c:pt idx="16">
                  <c:v>174.70000000000002</c:v>
                </c:pt>
                <c:pt idx="17">
                  <c:v>434.74999999999994</c:v>
                </c:pt>
                <c:pt idx="18">
                  <c:v>339</c:v>
                </c:pt>
                <c:pt idx="19">
                  <c:v>153.89999999999998</c:v>
                </c:pt>
                <c:pt idx="20">
                  <c:v>300.20000000000005</c:v>
                </c:pt>
                <c:pt idx="21">
                  <c:v>237.8</c:v>
                </c:pt>
                <c:pt idx="22">
                  <c:v>348.5</c:v>
                </c:pt>
                <c:pt idx="23">
                  <c:v>506.29999999999995</c:v>
                </c:pt>
                <c:pt idx="24">
                  <c:v>195.20000000000002</c:v>
                </c:pt>
                <c:pt idx="25">
                  <c:v>193.4</c:v>
                </c:pt>
                <c:pt idx="26">
                  <c:v>645.54999999999995</c:v>
                </c:pt>
                <c:pt idx="27">
                  <c:v>212.39999999999998</c:v>
                </c:pt>
                <c:pt idx="28">
                  <c:v>79.7</c:v>
                </c:pt>
                <c:pt idx="29">
                  <c:v>231.8</c:v>
                </c:pt>
                <c:pt idx="30">
                  <c:v>683.5</c:v>
                </c:pt>
                <c:pt idx="31">
                  <c:v>499.1</c:v>
                </c:pt>
                <c:pt idx="32">
                  <c:v>131.80000000000001</c:v>
                </c:pt>
                <c:pt idx="33">
                  <c:v>741.7</c:v>
                </c:pt>
                <c:pt idx="34">
                  <c:v>624.19999999999993</c:v>
                </c:pt>
                <c:pt idx="35">
                  <c:v>269.3</c:v>
                </c:pt>
                <c:pt idx="36">
                  <c:v>356.05000000000007</c:v>
                </c:pt>
                <c:pt idx="37">
                  <c:v>430.5</c:v>
                </c:pt>
                <c:pt idx="38">
                  <c:v>259</c:v>
                </c:pt>
                <c:pt idx="39">
                  <c:v>210.60000000000002</c:v>
                </c:pt>
                <c:pt idx="40">
                  <c:v>317.3</c:v>
                </c:pt>
                <c:pt idx="41">
                  <c:v>589.1</c:v>
                </c:pt>
                <c:pt idx="42">
                  <c:v>224.3</c:v>
                </c:pt>
                <c:pt idx="43">
                  <c:v>61.3</c:v>
                </c:pt>
                <c:pt idx="44">
                  <c:v>173.2</c:v>
                </c:pt>
                <c:pt idx="45">
                  <c:v>322.64999999999998</c:v>
                </c:pt>
                <c:pt idx="46">
                  <c:v>175.3</c:v>
                </c:pt>
                <c:pt idx="47">
                  <c:v>226.39999999999998</c:v>
                </c:pt>
                <c:pt idx="48">
                  <c:v>289.29999999999995</c:v>
                </c:pt>
                <c:pt idx="49">
                  <c:v>66.7</c:v>
                </c:pt>
                <c:pt idx="50">
                  <c:v>243.79999999999998</c:v>
                </c:pt>
                <c:pt idx="51">
                  <c:v>145.30000000000001</c:v>
                </c:pt>
                <c:pt idx="52">
                  <c:v>88</c:v>
                </c:pt>
                <c:pt idx="53">
                  <c:v>298</c:v>
                </c:pt>
                <c:pt idx="54">
                  <c:v>69</c:v>
                </c:pt>
                <c:pt idx="55">
                  <c:v>72.5</c:v>
                </c:pt>
                <c:pt idx="56">
                  <c:v>92.8</c:v>
                </c:pt>
                <c:pt idx="57">
                  <c:v>60</c:v>
                </c:pt>
                <c:pt idx="58">
                  <c:v>66.099999999999994</c:v>
                </c:pt>
                <c:pt idx="59">
                  <c:v>72.3</c:v>
                </c:pt>
              </c:numCache>
            </c:numRef>
          </c:val>
          <c:smooth val="0"/>
          <c:extLst>
            <c:ext xmlns:c16="http://schemas.microsoft.com/office/drawing/2014/chart" uri="{C3380CC4-5D6E-409C-BE32-E72D297353CC}">
              <c16:uniqueId val="{00000000-4B92-443B-89E1-64C258877C01}"/>
            </c:ext>
          </c:extLst>
        </c:ser>
        <c:dLbls>
          <c:showLegendKey val="0"/>
          <c:showVal val="0"/>
          <c:showCatName val="0"/>
          <c:showSerName val="0"/>
          <c:showPercent val="0"/>
          <c:showBubbleSize val="0"/>
        </c:dLbls>
        <c:smooth val="0"/>
        <c:axId val="1568109151"/>
        <c:axId val="1568104831"/>
      </c:lineChart>
      <c:catAx>
        <c:axId val="156810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104831"/>
        <c:crosses val="autoZero"/>
        <c:auto val="1"/>
        <c:lblAlgn val="ctr"/>
        <c:lblOffset val="100"/>
        <c:noMultiLvlLbl val="0"/>
      </c:catAx>
      <c:valAx>
        <c:axId val="15681048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10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206734</xdr:colOff>
      <xdr:row>0</xdr:row>
      <xdr:rowOff>135173</xdr:rowOff>
    </xdr:from>
    <xdr:to>
      <xdr:col>18</xdr:col>
      <xdr:colOff>151075</xdr:colOff>
      <xdr:row>34</xdr:row>
      <xdr:rowOff>159026</xdr:rowOff>
    </xdr:to>
    <xdr:sp macro="" textlink="">
      <xdr:nvSpPr>
        <xdr:cNvPr id="2" name="Rectangle: Rounded Corners 1">
          <a:extLst>
            <a:ext uri="{FF2B5EF4-FFF2-40B4-BE49-F238E27FC236}">
              <a16:creationId xmlns:a16="http://schemas.microsoft.com/office/drawing/2014/main" id="{0A13B575-27D9-274B-6C5E-87C11CE3704A}"/>
            </a:ext>
          </a:extLst>
        </xdr:cNvPr>
        <xdr:cNvSpPr/>
      </xdr:nvSpPr>
      <xdr:spPr>
        <a:xfrm>
          <a:off x="1478943" y="135173"/>
          <a:ext cx="10122010" cy="6512117"/>
        </a:xfrm>
        <a:prstGeom prst="roundRect">
          <a:avLst>
            <a:gd name="adj" fmla="val 3449"/>
          </a:avLst>
        </a:prstGeom>
        <a:solidFill>
          <a:schemeClr val="tx1">
            <a:lumMod val="85000"/>
            <a:lumOff val="15000"/>
            <a:alpha val="44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238540</xdr:colOff>
      <xdr:row>7</xdr:row>
      <xdr:rowOff>105640</xdr:rowOff>
    </xdr:from>
    <xdr:to>
      <xdr:col>9</xdr:col>
      <xdr:colOff>564544</xdr:colOff>
      <xdr:row>19</xdr:row>
      <xdr:rowOff>57932</xdr:rowOff>
    </xdr:to>
    <xdr:graphicFrame macro="">
      <xdr:nvGraphicFramePr>
        <xdr:cNvPr id="4" name="Chart 3">
          <a:extLst>
            <a:ext uri="{FF2B5EF4-FFF2-40B4-BE49-F238E27FC236}">
              <a16:creationId xmlns:a16="http://schemas.microsoft.com/office/drawing/2014/main" id="{0AD4D7D2-A197-4198-91B2-8934B07D18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239674</xdr:colOff>
      <xdr:row>19</xdr:row>
      <xdr:rowOff>116998</xdr:rowOff>
    </xdr:from>
    <xdr:to>
      <xdr:col>9</xdr:col>
      <xdr:colOff>565679</xdr:colOff>
      <xdr:row>33</xdr:row>
      <xdr:rowOff>188560</xdr:rowOff>
    </xdr:to>
    <xdr:graphicFrame macro="">
      <xdr:nvGraphicFramePr>
        <xdr:cNvPr id="6" name="Chart 5">
          <a:extLst>
            <a:ext uri="{FF2B5EF4-FFF2-40B4-BE49-F238E27FC236}">
              <a16:creationId xmlns:a16="http://schemas.microsoft.com/office/drawing/2014/main" id="{64E9AAF8-2B31-4EF3-AC55-8B025CF2AC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11359</xdr:colOff>
      <xdr:row>19</xdr:row>
      <xdr:rowOff>127222</xdr:rowOff>
    </xdr:from>
    <xdr:to>
      <xdr:col>18</xdr:col>
      <xdr:colOff>103367</xdr:colOff>
      <xdr:row>34</xdr:row>
      <xdr:rowOff>7953</xdr:rowOff>
    </xdr:to>
    <xdr:graphicFrame macro="">
      <xdr:nvGraphicFramePr>
        <xdr:cNvPr id="7" name="Chart 6">
          <a:extLst>
            <a:ext uri="{FF2B5EF4-FFF2-40B4-BE49-F238E27FC236}">
              <a16:creationId xmlns:a16="http://schemas.microsoft.com/office/drawing/2014/main" id="{0D00A343-E7F9-427B-A63C-15CBB5CD6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318052</xdr:colOff>
      <xdr:row>1</xdr:row>
      <xdr:rowOff>1</xdr:rowOff>
    </xdr:from>
    <xdr:to>
      <xdr:col>18</xdr:col>
      <xdr:colOff>79513</xdr:colOff>
      <xdr:row>7</xdr:row>
      <xdr:rowOff>31805</xdr:rowOff>
    </xdr:to>
    <mc:AlternateContent xmlns:mc="http://schemas.openxmlformats.org/markup-compatibility/2006">
      <mc:Choice xmlns:a14="http://schemas.microsoft.com/office/drawing/2010/main" Requires="a14">
        <xdr:graphicFrame macro="">
          <xdr:nvGraphicFramePr>
            <xdr:cNvPr id="8" name="Screen_Category">
              <a:extLst>
                <a:ext uri="{FF2B5EF4-FFF2-40B4-BE49-F238E27FC236}">
                  <a16:creationId xmlns:a16="http://schemas.microsoft.com/office/drawing/2014/main" id="{444E86FE-C1BA-47AF-A123-F3DF989A0346}"/>
                </a:ext>
              </a:extLst>
            </xdr:cNvPr>
            <xdr:cNvGraphicFramePr/>
          </xdr:nvGraphicFramePr>
          <xdr:xfrm>
            <a:off x="0" y="0"/>
            <a:ext cx="0" cy="0"/>
          </xdr:xfrm>
          <a:graphic>
            <a:graphicData uri="http://schemas.microsoft.com/office/drawing/2010/slicer">
              <sle:slicer xmlns:sle="http://schemas.microsoft.com/office/drawing/2010/slicer" name="Screen_Category"/>
            </a:graphicData>
          </a:graphic>
        </xdr:graphicFrame>
      </mc:Choice>
      <mc:Fallback>
        <xdr:sp macro="" textlink="">
          <xdr:nvSpPr>
            <xdr:cNvPr id="0" name=""/>
            <xdr:cNvSpPr>
              <a:spLocks noTextEdit="1"/>
            </xdr:cNvSpPr>
          </xdr:nvSpPr>
          <xdr:spPr>
            <a:xfrm>
              <a:off x="10495722" y="193104"/>
              <a:ext cx="1033670" cy="11904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511156</xdr:colOff>
      <xdr:row>1</xdr:row>
      <xdr:rowOff>4543</xdr:rowOff>
    </xdr:from>
    <xdr:to>
      <xdr:col>16</xdr:col>
      <xdr:colOff>272616</xdr:colOff>
      <xdr:row>7</xdr:row>
      <xdr:rowOff>20446</xdr:rowOff>
    </xdr:to>
    <mc:AlternateContent xmlns:mc="http://schemas.openxmlformats.org/markup-compatibility/2006">
      <mc:Choice xmlns:a14="http://schemas.microsoft.com/office/drawing/2010/main" Requires="a14">
        <xdr:graphicFrame macro="">
          <xdr:nvGraphicFramePr>
            <xdr:cNvPr id="9" name="Age _Group">
              <a:extLst>
                <a:ext uri="{FF2B5EF4-FFF2-40B4-BE49-F238E27FC236}">
                  <a16:creationId xmlns:a16="http://schemas.microsoft.com/office/drawing/2014/main" id="{CDA3C7FE-4D68-474B-AE9A-6F03F13F065F}"/>
                </a:ext>
              </a:extLst>
            </xdr:cNvPr>
            <xdr:cNvGraphicFramePr/>
          </xdr:nvGraphicFramePr>
          <xdr:xfrm>
            <a:off x="0" y="0"/>
            <a:ext cx="0" cy="0"/>
          </xdr:xfrm>
          <a:graphic>
            <a:graphicData uri="http://schemas.microsoft.com/office/drawing/2010/slicer">
              <sle:slicer xmlns:sle="http://schemas.microsoft.com/office/drawing/2010/slicer" name="Age _Group"/>
            </a:graphicData>
          </a:graphic>
        </xdr:graphicFrame>
      </mc:Choice>
      <mc:Fallback>
        <xdr:sp macro="" textlink="">
          <xdr:nvSpPr>
            <xdr:cNvPr id="0" name=""/>
            <xdr:cNvSpPr>
              <a:spLocks noTextEdit="1"/>
            </xdr:cNvSpPr>
          </xdr:nvSpPr>
          <xdr:spPr>
            <a:xfrm>
              <a:off x="9416617" y="197646"/>
              <a:ext cx="1033669" cy="11745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306693</xdr:colOff>
      <xdr:row>1</xdr:row>
      <xdr:rowOff>68154</xdr:rowOff>
    </xdr:from>
    <xdr:to>
      <xdr:col>14</xdr:col>
      <xdr:colOff>445273</xdr:colOff>
      <xdr:row>7</xdr:row>
      <xdr:rowOff>7951</xdr:rowOff>
    </xdr:to>
    <xdr:sp macro="" textlink="">
      <xdr:nvSpPr>
        <xdr:cNvPr id="10" name="TextBox 9">
          <a:extLst>
            <a:ext uri="{FF2B5EF4-FFF2-40B4-BE49-F238E27FC236}">
              <a16:creationId xmlns:a16="http://schemas.microsoft.com/office/drawing/2014/main" id="{76B6AF4E-4512-67FE-5B21-49D8B0994E29}"/>
            </a:ext>
          </a:extLst>
        </xdr:cNvPr>
        <xdr:cNvSpPr txBox="1"/>
      </xdr:nvSpPr>
      <xdr:spPr>
        <a:xfrm>
          <a:off x="1578902" y="261257"/>
          <a:ext cx="7771832" cy="1098415"/>
        </a:xfrm>
        <a:prstGeom prst="rect">
          <a:avLst/>
        </a:prstGeom>
        <a:noFill/>
        <a:ln w="38100" cmpd="sng">
          <a:solidFill>
            <a:schemeClr val="accent4">
              <a:alpha val="79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i="1"/>
            <a:t>Student Performance Dashboard: Screen Time Analysis</a:t>
          </a:r>
        </a:p>
      </xdr:txBody>
    </xdr:sp>
    <xdr:clientData/>
  </xdr:twoCellAnchor>
  <xdr:twoCellAnchor>
    <xdr:from>
      <xdr:col>10</xdr:col>
      <xdr:colOff>24989</xdr:colOff>
      <xdr:row>7</xdr:row>
      <xdr:rowOff>101097</xdr:rowOff>
    </xdr:from>
    <xdr:to>
      <xdr:col>18</xdr:col>
      <xdr:colOff>68152</xdr:colOff>
      <xdr:row>19</xdr:row>
      <xdr:rowOff>34077</xdr:rowOff>
    </xdr:to>
    <xdr:graphicFrame macro="">
      <xdr:nvGraphicFramePr>
        <xdr:cNvPr id="11" name="Chart 10">
          <a:extLst>
            <a:ext uri="{FF2B5EF4-FFF2-40B4-BE49-F238E27FC236}">
              <a16:creationId xmlns:a16="http://schemas.microsoft.com/office/drawing/2014/main" id="{FAF452E6-BC78-46A8-AA48-7E15137C4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nna Babu Kona" refreshedDate="46098.937940162039" createdVersion="8" refreshedVersion="8" minRefreshableVersion="3" recordCount="200" xr:uid="{25BB3B04-9BE0-49C3-A04A-6D5D82CD88C2}">
  <cacheSource type="worksheet">
    <worksheetSource ref="A1:H201" sheet="student_screen_time_raw"/>
  </cacheSource>
  <cacheFields count="8">
    <cacheField name="Student_ID" numFmtId="0">
      <sharedItems containsSemiMixedTypes="0" containsString="0" containsNumber="1" containsInteger="1" minValue="1" maxValue="200"/>
    </cacheField>
    <cacheField name="Age" numFmtId="0">
      <sharedItems containsSemiMixedTypes="0" containsString="0" containsNumber="1" containsInteger="1" minValue="13" maxValue="18" count="6">
        <n v="16"/>
        <n v="17"/>
        <n v="15"/>
        <n v="14"/>
        <n v="18"/>
        <n v="13"/>
      </sharedItems>
    </cacheField>
    <cacheField name="Study_Hours" numFmtId="0">
      <sharedItems containsSemiMixedTypes="0" containsString="0" containsNumber="1" minValue="0.2" maxValue="5.8"/>
    </cacheField>
    <cacheField name="Screen_Time" numFmtId="0">
      <sharedItems containsSemiMixedTypes="0" containsString="0" containsNumber="1" minValue="0" maxValue="7.9" count="60">
        <n v="2.7"/>
        <n v="4"/>
        <n v="4.3"/>
        <n v="2.8"/>
        <n v="1.8"/>
        <n v="4.4000000000000004"/>
        <n v="6.7"/>
        <n v="4.5999999999999996"/>
        <n v="4.0999999999999996"/>
        <n v="3.6"/>
        <n v="5.8"/>
        <n v="2"/>
        <n v="1.6"/>
        <n v="5.6"/>
        <n v="3.5"/>
        <n v="4.7"/>
        <n v="5.2"/>
        <n v="6"/>
        <n v="2.6"/>
        <n v="0.5"/>
        <n v="2.5"/>
        <n v="2.9"/>
        <n v="1.2"/>
        <n v="3.1"/>
        <n v="6.4"/>
        <n v="5"/>
        <n v="4.8"/>
        <n v="5.3"/>
        <n v="5.7"/>
        <n v="3.2"/>
        <n v="1.9"/>
        <n v="3.9"/>
        <n v="0.2"/>
        <n v="4.9000000000000004"/>
        <n v="3.7"/>
        <n v="3.3"/>
        <n v="2.2000000000000002"/>
        <n v="3"/>
        <n v="1.7"/>
        <n v="3.8"/>
        <n v="4.2"/>
        <n v="6.1"/>
        <n v="4.5"/>
        <n v="3.4"/>
        <n v="6.9"/>
        <n v="0"/>
        <n v="7.8"/>
        <n v="7.1"/>
        <n v="1"/>
        <n v="0.9"/>
        <n v="7.5"/>
        <n v="2.2999999999999998"/>
        <n v="5.5"/>
        <n v="6.5"/>
        <n v="7.6"/>
        <n v="1.5"/>
        <n v="2.1"/>
        <n v="7.9"/>
        <n v="6.2"/>
        <n v="7"/>
      </sharedItems>
    </cacheField>
    <cacheField name="Test_Scores" numFmtId="0">
      <sharedItems containsSemiMixedTypes="0" containsString="0" containsNumber="1" minValue="34.299999999999997" maxValue="100" count="159">
        <n v="75"/>
        <n v="68.099999999999994"/>
        <n v="67.900000000000006"/>
        <n v="47.2"/>
        <n v="78"/>
        <n v="71.5"/>
        <n v="88"/>
        <n v="69.3"/>
        <n v="75.7"/>
        <n v="78.3"/>
        <n v="52.5"/>
        <n v="96.2"/>
        <n v="65.7"/>
        <n v="74.900000000000006"/>
        <n v="76.400000000000006"/>
        <n v="61.9"/>
        <n v="88.5"/>
        <n v="72.7"/>
        <n v="71.400000000000006"/>
        <n v="77.599999999999994"/>
        <n v="70.099999999999994"/>
        <n v="78.8"/>
        <n v="53.2"/>
        <n v="62.5"/>
        <n v="48.6"/>
        <n v="90"/>
        <n v="89.8"/>
        <n v="76.3"/>
        <n v="59.9"/>
        <n v="93.9"/>
        <n v="64"/>
        <n v="71.599999999999994"/>
        <n v="74.5"/>
        <n v="76.8"/>
        <n v="70.849999999999994"/>
        <n v="76.7"/>
        <n v="75.8"/>
        <n v="65.599999999999994"/>
        <n v="74.599999999999994"/>
        <n v="76.5"/>
        <n v="57.1"/>
        <n v="67.3"/>
        <n v="76.099999999999994"/>
        <n v="87.1"/>
        <n v="78.2"/>
        <n v="87.7"/>
        <n v="66"/>
        <n v="72.5"/>
        <n v="78.099999999999994"/>
        <n v="46.7"/>
        <n v="51.4"/>
        <n v="80"/>
        <n v="76.900000000000006"/>
        <n v="46.6"/>
        <n v="47.1"/>
        <n v="82.1"/>
        <n v="61.2"/>
        <n v="75.099999999999994"/>
        <n v="69.900000000000006"/>
        <n v="80.5"/>
        <n v="74.8"/>
        <n v="85.8"/>
        <n v="79.7"/>
        <n v="77.2"/>
        <n v="66.5"/>
        <n v="69.5"/>
        <n v="88.4"/>
        <n v="65.900000000000006"/>
        <n v="72.599999999999994"/>
        <n v="47.6"/>
        <n v="92.6"/>
        <n v="60.7"/>
        <n v="100"/>
        <n v="71.8"/>
        <n v="44.3"/>
        <n v="66.099999999999994"/>
        <n v="83.3"/>
        <n v="85.7"/>
        <n v="58.2"/>
        <n v="63.2"/>
        <n v="63.9"/>
        <n v="72.099999999999994"/>
        <n v="78.7"/>
        <n v="60.6"/>
        <n v="72"/>
        <n v="83"/>
        <n v="63.7"/>
        <n v="65"/>
        <n v="74.2"/>
        <n v="57.7"/>
        <n v="59"/>
        <n v="75.400000000000006"/>
        <n v="56.4"/>
        <n v="84"/>
        <n v="63.1"/>
        <n v="76.2"/>
        <n v="60.8"/>
        <n v="67.5"/>
        <n v="78.400000000000006"/>
        <n v="69.599999999999994"/>
        <n v="70.8"/>
        <n v="73.099999999999994"/>
        <n v="58.1"/>
        <n v="72.8"/>
        <n v="62.8"/>
        <n v="79.099999999999994"/>
        <n v="63.3"/>
        <n v="63.4"/>
        <n v="92.8"/>
        <n v="71.099999999999994"/>
        <n v="81.3"/>
        <n v="64.2"/>
        <n v="60.9"/>
        <n v="61.3"/>
        <n v="53.9"/>
        <n v="83.5"/>
        <n v="66.7"/>
        <n v="65.5"/>
        <n v="48.8"/>
        <n v="55.7"/>
        <n v="84.7"/>
        <n v="73"/>
        <n v="81.7"/>
        <n v="80.400000000000006"/>
        <n v="60"/>
        <n v="94.3"/>
        <n v="89.5"/>
        <n v="64.400000000000006"/>
        <n v="34.299999999999997"/>
        <n v="66.400000000000006"/>
        <n v="72.400000000000006"/>
        <n v="64.3"/>
        <n v="67.8"/>
        <n v="61.7"/>
        <n v="79.2"/>
        <n v="70.599999999999994"/>
        <n v="79.5"/>
        <n v="82.2"/>
        <n v="48.3"/>
        <n v="62.3"/>
        <n v="63.8"/>
        <n v="95.7"/>
        <n v="51.2"/>
        <n v="79.8"/>
        <n v="78.599999999999994"/>
        <n v="53.1"/>
        <n v="61"/>
        <n v="72.3"/>
        <n v="74.7"/>
        <n v="83.7"/>
        <n v="79.599999999999994"/>
        <n v="77.5"/>
        <n v="80.099999999999994"/>
        <n v="64.900000000000006"/>
        <n v="69"/>
        <n v="65.2"/>
        <n v="80.2"/>
        <n v="82.5"/>
        <n v="66.3"/>
      </sharedItems>
    </cacheField>
    <cacheField name="Extra_Curricular_Hours" numFmtId="0">
      <sharedItems containsSemiMixedTypes="0" containsString="0" containsNumber="1" minValue="0" maxValue="3.7"/>
    </cacheField>
    <cacheField name="Screen_Category" numFmtId="0">
      <sharedItems count="2">
        <s v="Low"/>
        <s v="High"/>
      </sharedItems>
    </cacheField>
    <cacheField name="Age _Group" numFmtId="0">
      <sharedItems count="2">
        <s v="Teen"/>
        <s v="Adult"/>
      </sharedItems>
    </cacheField>
  </cacheFields>
  <extLst>
    <ext xmlns:x14="http://schemas.microsoft.com/office/spreadsheetml/2009/9/main" uri="{725AE2AE-9491-48be-B2B4-4EB974FC3084}">
      <x14:pivotCacheDefinition pivotCacheId="143671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x v="0"/>
    <n v="2.5"/>
    <x v="0"/>
    <x v="0"/>
    <n v="1.6"/>
    <x v="0"/>
    <x v="0"/>
  </r>
  <r>
    <n v="2"/>
    <x v="1"/>
    <n v="2.7"/>
    <x v="1"/>
    <x v="1"/>
    <n v="0.7"/>
    <x v="0"/>
    <x v="0"/>
  </r>
  <r>
    <n v="3"/>
    <x v="2"/>
    <n v="3"/>
    <x v="2"/>
    <x v="2"/>
    <n v="1.5"/>
    <x v="1"/>
    <x v="0"/>
  </r>
  <r>
    <n v="4"/>
    <x v="1"/>
    <n v="3"/>
    <x v="3"/>
    <x v="3"/>
    <n v="1.8"/>
    <x v="0"/>
    <x v="0"/>
  </r>
  <r>
    <n v="5"/>
    <x v="1"/>
    <n v="2.5"/>
    <x v="4"/>
    <x v="4"/>
    <n v="1.4"/>
    <x v="0"/>
    <x v="0"/>
  </r>
  <r>
    <n v="6"/>
    <x v="3"/>
    <n v="1.3"/>
    <x v="5"/>
    <x v="5"/>
    <n v="0.4"/>
    <x v="1"/>
    <x v="0"/>
  </r>
  <r>
    <n v="7"/>
    <x v="2"/>
    <n v="3.3"/>
    <x v="6"/>
    <x v="6"/>
    <n v="2.9"/>
    <x v="1"/>
    <x v="0"/>
  </r>
  <r>
    <n v="8"/>
    <x v="2"/>
    <n v="2.9"/>
    <x v="7"/>
    <x v="7"/>
    <n v="1.6"/>
    <x v="1"/>
    <x v="0"/>
  </r>
  <r>
    <n v="9"/>
    <x v="2"/>
    <n v="1.4"/>
    <x v="8"/>
    <x v="8"/>
    <n v="0.9"/>
    <x v="1"/>
    <x v="0"/>
  </r>
  <r>
    <n v="10"/>
    <x v="1"/>
    <n v="1.8"/>
    <x v="8"/>
    <x v="9"/>
    <n v="2.8"/>
    <x v="1"/>
    <x v="0"/>
  </r>
  <r>
    <n v="11"/>
    <x v="0"/>
    <n v="3.4"/>
    <x v="9"/>
    <x v="10"/>
    <n v="2"/>
    <x v="0"/>
    <x v="0"/>
  </r>
  <r>
    <n v="12"/>
    <x v="2"/>
    <n v="3.1"/>
    <x v="10"/>
    <x v="11"/>
    <n v="0.5"/>
    <x v="1"/>
    <x v="0"/>
  </r>
  <r>
    <n v="13"/>
    <x v="4"/>
    <n v="1.8"/>
    <x v="1"/>
    <x v="12"/>
    <n v="0.7"/>
    <x v="0"/>
    <x v="1"/>
  </r>
  <r>
    <n v="14"/>
    <x v="3"/>
    <n v="2.2000000000000002"/>
    <x v="11"/>
    <x v="13"/>
    <n v="1.3"/>
    <x v="0"/>
    <x v="0"/>
  </r>
  <r>
    <n v="15"/>
    <x v="0"/>
    <n v="2.4"/>
    <x v="12"/>
    <x v="14"/>
    <n v="1.7"/>
    <x v="0"/>
    <x v="0"/>
  </r>
  <r>
    <n v="16"/>
    <x v="3"/>
    <n v="3.1"/>
    <x v="8"/>
    <x v="15"/>
    <n v="2"/>
    <x v="1"/>
    <x v="0"/>
  </r>
  <r>
    <n v="17"/>
    <x v="0"/>
    <n v="3.7"/>
    <x v="13"/>
    <x v="16"/>
    <n v="2.2999999999999998"/>
    <x v="1"/>
    <x v="0"/>
  </r>
  <r>
    <n v="18"/>
    <x v="4"/>
    <n v="2.6"/>
    <x v="5"/>
    <x v="17"/>
    <n v="1.9"/>
    <x v="1"/>
    <x v="1"/>
  </r>
  <r>
    <n v="19"/>
    <x v="5"/>
    <n v="2.5"/>
    <x v="14"/>
    <x v="2"/>
    <n v="2.6"/>
    <x v="0"/>
    <x v="0"/>
  </r>
  <r>
    <n v="20"/>
    <x v="0"/>
    <n v="3.4"/>
    <x v="15"/>
    <x v="18"/>
    <n v="1.6"/>
    <x v="1"/>
    <x v="0"/>
  </r>
  <r>
    <n v="21"/>
    <x v="3"/>
    <n v="2.7"/>
    <x v="2"/>
    <x v="19"/>
    <n v="0.9"/>
    <x v="1"/>
    <x v="0"/>
  </r>
  <r>
    <n v="22"/>
    <x v="4"/>
    <n v="1.1000000000000001"/>
    <x v="16"/>
    <x v="20"/>
    <n v="1.5"/>
    <x v="1"/>
    <x v="1"/>
  </r>
  <r>
    <n v="23"/>
    <x v="0"/>
    <n v="1.5"/>
    <x v="17"/>
    <x v="21"/>
    <n v="1.4"/>
    <x v="1"/>
    <x v="0"/>
  </r>
  <r>
    <n v="24"/>
    <x v="5"/>
    <n v="3.2"/>
    <x v="18"/>
    <x v="22"/>
    <n v="0"/>
    <x v="0"/>
    <x v="0"/>
  </r>
  <r>
    <n v="25"/>
    <x v="5"/>
    <n v="0.8"/>
    <x v="19"/>
    <x v="23"/>
    <n v="1.1000000000000001"/>
    <x v="0"/>
    <x v="0"/>
  </r>
  <r>
    <n v="26"/>
    <x v="2"/>
    <n v="2.6"/>
    <x v="14"/>
    <x v="24"/>
    <n v="1.8"/>
    <x v="0"/>
    <x v="0"/>
  </r>
  <r>
    <n v="27"/>
    <x v="2"/>
    <n v="3.5"/>
    <x v="20"/>
    <x v="25"/>
    <n v="1.2"/>
    <x v="0"/>
    <x v="0"/>
  </r>
  <r>
    <n v="28"/>
    <x v="3"/>
    <n v="2.7"/>
    <x v="16"/>
    <x v="26"/>
    <n v="1"/>
    <x v="1"/>
    <x v="0"/>
  </r>
  <r>
    <n v="29"/>
    <x v="0"/>
    <n v="1.9"/>
    <x v="21"/>
    <x v="27"/>
    <n v="2.2000000000000002"/>
    <x v="0"/>
    <x v="0"/>
  </r>
  <r>
    <n v="30"/>
    <x v="0"/>
    <n v="1.7"/>
    <x v="22"/>
    <x v="28"/>
    <n v="0.8"/>
    <x v="0"/>
    <x v="0"/>
  </r>
  <r>
    <n v="31"/>
    <x v="2"/>
    <n v="3.3"/>
    <x v="23"/>
    <x v="29"/>
    <n v="2.1"/>
    <x v="0"/>
    <x v="0"/>
  </r>
  <r>
    <n v="32"/>
    <x v="0"/>
    <n v="3"/>
    <x v="4"/>
    <x v="30"/>
    <n v="0.4"/>
    <x v="0"/>
    <x v="0"/>
  </r>
  <r>
    <n v="33"/>
    <x v="0"/>
    <n v="2.2000000000000002"/>
    <x v="24"/>
    <x v="2"/>
    <n v="3.7"/>
    <x v="1"/>
    <x v="0"/>
  </r>
  <r>
    <n v="34"/>
    <x v="5"/>
    <n v="3.6"/>
    <x v="15"/>
    <x v="31"/>
    <n v="1.3"/>
    <x v="1"/>
    <x v="0"/>
  </r>
  <r>
    <n v="35"/>
    <x v="2"/>
    <n v="3.4"/>
    <x v="25"/>
    <x v="32"/>
    <n v="1.2"/>
    <x v="1"/>
    <x v="0"/>
  </r>
  <r>
    <n v="36"/>
    <x v="4"/>
    <n v="4.3"/>
    <x v="26"/>
    <x v="14"/>
    <n v="2.4"/>
    <x v="1"/>
    <x v="1"/>
  </r>
  <r>
    <n v="37"/>
    <x v="2"/>
    <n v="3.1"/>
    <x v="27"/>
    <x v="33"/>
    <n v="1.2"/>
    <x v="1"/>
    <x v="0"/>
  </r>
  <r>
    <n v="38"/>
    <x v="1"/>
    <n v="2.2999999999999998"/>
    <x v="28"/>
    <x v="34"/>
    <n v="2.7"/>
    <x v="1"/>
    <x v="0"/>
  </r>
  <r>
    <n v="39"/>
    <x v="5"/>
    <n v="2.4"/>
    <x v="29"/>
    <x v="35"/>
    <n v="1.8"/>
    <x v="0"/>
    <x v="0"/>
  </r>
  <r>
    <n v="40"/>
    <x v="3"/>
    <n v="0.6"/>
    <x v="30"/>
    <x v="34"/>
    <n v="1.4"/>
    <x v="0"/>
    <x v="0"/>
  </r>
  <r>
    <n v="41"/>
    <x v="0"/>
    <n v="2.7"/>
    <x v="0"/>
    <x v="36"/>
    <n v="1.3"/>
    <x v="0"/>
    <x v="0"/>
  </r>
  <r>
    <n v="42"/>
    <x v="5"/>
    <n v="2.5"/>
    <x v="31"/>
    <x v="0"/>
    <n v="2.5"/>
    <x v="0"/>
    <x v="0"/>
  </r>
  <r>
    <n v="43"/>
    <x v="0"/>
    <n v="1.2"/>
    <x v="32"/>
    <x v="19"/>
    <n v="1.7"/>
    <x v="0"/>
    <x v="0"/>
  </r>
  <r>
    <n v="44"/>
    <x v="3"/>
    <n v="2.5"/>
    <x v="28"/>
    <x v="14"/>
    <n v="1.8"/>
    <x v="1"/>
    <x v="0"/>
  </r>
  <r>
    <n v="45"/>
    <x v="3"/>
    <n v="3.8"/>
    <x v="22"/>
    <x v="37"/>
    <n v="1.9"/>
    <x v="0"/>
    <x v="0"/>
  </r>
  <r>
    <n v="46"/>
    <x v="5"/>
    <n v="1.8"/>
    <x v="33"/>
    <x v="38"/>
    <n v="1.6"/>
    <x v="1"/>
    <x v="0"/>
  </r>
  <r>
    <n v="47"/>
    <x v="3"/>
    <n v="1.5"/>
    <x v="34"/>
    <x v="39"/>
    <n v="1.9"/>
    <x v="0"/>
    <x v="0"/>
  </r>
  <r>
    <n v="48"/>
    <x v="1"/>
    <n v="3.6"/>
    <x v="5"/>
    <x v="40"/>
    <n v="1.4"/>
    <x v="1"/>
    <x v="0"/>
  </r>
  <r>
    <n v="49"/>
    <x v="3"/>
    <n v="3.1"/>
    <x v="35"/>
    <x v="41"/>
    <n v="1.5"/>
    <x v="0"/>
    <x v="0"/>
  </r>
  <r>
    <n v="50"/>
    <x v="0"/>
    <n v="5.6"/>
    <x v="2"/>
    <x v="42"/>
    <n v="0.6"/>
    <x v="1"/>
    <x v="0"/>
  </r>
  <r>
    <n v="51"/>
    <x v="0"/>
    <n v="1.2"/>
    <x v="35"/>
    <x v="43"/>
    <n v="1.7"/>
    <x v="0"/>
    <x v="0"/>
  </r>
  <r>
    <n v="52"/>
    <x v="0"/>
    <n v="3.2"/>
    <x v="29"/>
    <x v="44"/>
    <n v="0.1"/>
    <x v="0"/>
    <x v="0"/>
  </r>
  <r>
    <n v="53"/>
    <x v="0"/>
    <n v="2.8"/>
    <x v="0"/>
    <x v="45"/>
    <n v="1.7"/>
    <x v="0"/>
    <x v="0"/>
  </r>
  <r>
    <n v="54"/>
    <x v="4"/>
    <n v="2.6"/>
    <x v="1"/>
    <x v="46"/>
    <n v="1.3"/>
    <x v="0"/>
    <x v="1"/>
  </r>
  <r>
    <n v="55"/>
    <x v="2"/>
    <n v="3.4"/>
    <x v="7"/>
    <x v="47"/>
    <n v="1.8"/>
    <x v="1"/>
    <x v="0"/>
  </r>
  <r>
    <n v="56"/>
    <x v="5"/>
    <n v="2.5"/>
    <x v="2"/>
    <x v="48"/>
    <n v="0.7"/>
    <x v="1"/>
    <x v="0"/>
  </r>
  <r>
    <n v="57"/>
    <x v="0"/>
    <n v="0.6"/>
    <x v="0"/>
    <x v="49"/>
    <n v="0"/>
    <x v="0"/>
    <x v="0"/>
  </r>
  <r>
    <n v="58"/>
    <x v="3"/>
    <n v="1.7"/>
    <x v="9"/>
    <x v="34"/>
    <n v="1.2"/>
    <x v="0"/>
    <x v="0"/>
  </r>
  <r>
    <n v="59"/>
    <x v="0"/>
    <n v="3.9"/>
    <x v="20"/>
    <x v="50"/>
    <n v="0.7"/>
    <x v="0"/>
    <x v="0"/>
  </r>
  <r>
    <n v="60"/>
    <x v="3"/>
    <n v="3.7"/>
    <x v="35"/>
    <x v="51"/>
    <n v="0.1"/>
    <x v="0"/>
    <x v="0"/>
  </r>
  <r>
    <n v="61"/>
    <x v="3"/>
    <n v="2.1"/>
    <x v="36"/>
    <x v="52"/>
    <n v="2.1"/>
    <x v="0"/>
    <x v="0"/>
  </r>
  <r>
    <n v="62"/>
    <x v="0"/>
    <n v="3"/>
    <x v="24"/>
    <x v="53"/>
    <n v="2.8"/>
    <x v="1"/>
    <x v="0"/>
  </r>
  <r>
    <n v="63"/>
    <x v="4"/>
    <n v="5.3"/>
    <x v="1"/>
    <x v="54"/>
    <n v="0.9"/>
    <x v="0"/>
    <x v="1"/>
  </r>
  <r>
    <n v="64"/>
    <x v="3"/>
    <n v="2.5"/>
    <x v="0"/>
    <x v="34"/>
    <n v="1.4"/>
    <x v="0"/>
    <x v="0"/>
  </r>
  <r>
    <n v="65"/>
    <x v="3"/>
    <n v="2.5"/>
    <x v="11"/>
    <x v="55"/>
    <n v="1.3"/>
    <x v="0"/>
    <x v="0"/>
  </r>
  <r>
    <n v="66"/>
    <x v="0"/>
    <n v="2.7"/>
    <x v="3"/>
    <x v="56"/>
    <n v="1"/>
    <x v="0"/>
    <x v="0"/>
  </r>
  <r>
    <n v="67"/>
    <x v="3"/>
    <n v="3.1"/>
    <x v="35"/>
    <x v="56"/>
    <n v="2"/>
    <x v="0"/>
    <x v="0"/>
  </r>
  <r>
    <n v="68"/>
    <x v="3"/>
    <n v="2.2000000000000002"/>
    <x v="31"/>
    <x v="57"/>
    <n v="2.2999999999999998"/>
    <x v="0"/>
    <x v="0"/>
  </r>
  <r>
    <n v="69"/>
    <x v="0"/>
    <n v="3.1"/>
    <x v="37"/>
    <x v="58"/>
    <n v="0.8"/>
    <x v="0"/>
    <x v="0"/>
  </r>
  <r>
    <n v="70"/>
    <x v="0"/>
    <n v="0.6"/>
    <x v="12"/>
    <x v="59"/>
    <n v="1.5"/>
    <x v="0"/>
    <x v="0"/>
  </r>
  <r>
    <n v="71"/>
    <x v="5"/>
    <n v="2.8"/>
    <x v="38"/>
    <x v="60"/>
    <n v="2.5"/>
    <x v="0"/>
    <x v="0"/>
  </r>
  <r>
    <n v="72"/>
    <x v="1"/>
    <n v="2.6"/>
    <x v="25"/>
    <x v="61"/>
    <n v="2.1"/>
    <x v="1"/>
    <x v="0"/>
  </r>
  <r>
    <n v="73"/>
    <x v="1"/>
    <n v="2.2999999999999998"/>
    <x v="39"/>
    <x v="62"/>
    <n v="2.2000000000000002"/>
    <x v="0"/>
    <x v="0"/>
  </r>
  <r>
    <n v="74"/>
    <x v="3"/>
    <n v="2"/>
    <x v="25"/>
    <x v="63"/>
    <n v="2.6"/>
    <x v="1"/>
    <x v="0"/>
  </r>
  <r>
    <n v="75"/>
    <x v="1"/>
    <n v="1.9"/>
    <x v="16"/>
    <x v="64"/>
    <n v="2.6"/>
    <x v="1"/>
    <x v="0"/>
  </r>
  <r>
    <n v="76"/>
    <x v="3"/>
    <n v="1.7"/>
    <x v="40"/>
    <x v="12"/>
    <n v="2.2999999999999998"/>
    <x v="1"/>
    <x v="0"/>
  </r>
  <r>
    <n v="77"/>
    <x v="5"/>
    <n v="0.2"/>
    <x v="36"/>
    <x v="65"/>
    <n v="1.6"/>
    <x v="0"/>
    <x v="0"/>
  </r>
  <r>
    <n v="78"/>
    <x v="0"/>
    <n v="2.2000000000000002"/>
    <x v="2"/>
    <x v="66"/>
    <n v="1.2"/>
    <x v="1"/>
    <x v="0"/>
  </r>
  <r>
    <n v="79"/>
    <x v="0"/>
    <n v="3.6"/>
    <x v="41"/>
    <x v="67"/>
    <n v="1.6"/>
    <x v="1"/>
    <x v="0"/>
  </r>
  <r>
    <n v="80"/>
    <x v="0"/>
    <n v="2.2000000000000002"/>
    <x v="35"/>
    <x v="68"/>
    <n v="1.1000000000000001"/>
    <x v="0"/>
    <x v="0"/>
  </r>
  <r>
    <n v="81"/>
    <x v="1"/>
    <n v="3.1"/>
    <x v="42"/>
    <x v="69"/>
    <n v="0"/>
    <x v="1"/>
    <x v="0"/>
  </r>
  <r>
    <n v="82"/>
    <x v="5"/>
    <n v="1.4"/>
    <x v="1"/>
    <x v="33"/>
    <n v="1.3"/>
    <x v="0"/>
    <x v="0"/>
  </r>
  <r>
    <n v="83"/>
    <x v="4"/>
    <n v="1.2"/>
    <x v="41"/>
    <x v="70"/>
    <n v="1.8"/>
    <x v="1"/>
    <x v="1"/>
  </r>
  <r>
    <n v="84"/>
    <x v="1"/>
    <n v="1.7"/>
    <x v="37"/>
    <x v="71"/>
    <n v="1"/>
    <x v="0"/>
    <x v="0"/>
  </r>
  <r>
    <n v="85"/>
    <x v="5"/>
    <n v="1.5"/>
    <x v="28"/>
    <x v="72"/>
    <n v="1.3"/>
    <x v="1"/>
    <x v="0"/>
  </r>
  <r>
    <n v="86"/>
    <x v="5"/>
    <n v="1.3"/>
    <x v="43"/>
    <x v="73"/>
    <n v="1.4"/>
    <x v="0"/>
    <x v="0"/>
  </r>
  <r>
    <n v="87"/>
    <x v="5"/>
    <n v="2.9"/>
    <x v="37"/>
    <x v="74"/>
    <n v="2.6"/>
    <x v="0"/>
    <x v="0"/>
  </r>
  <r>
    <n v="88"/>
    <x v="5"/>
    <n v="4.3"/>
    <x v="40"/>
    <x v="75"/>
    <n v="1.2"/>
    <x v="1"/>
    <x v="0"/>
  </r>
  <r>
    <n v="89"/>
    <x v="0"/>
    <n v="1.8"/>
    <x v="42"/>
    <x v="76"/>
    <n v="2.6"/>
    <x v="1"/>
    <x v="0"/>
  </r>
  <r>
    <n v="90"/>
    <x v="2"/>
    <n v="2.5"/>
    <x v="44"/>
    <x v="25"/>
    <n v="0"/>
    <x v="1"/>
    <x v="0"/>
  </r>
  <r>
    <n v="91"/>
    <x v="2"/>
    <n v="3.2"/>
    <x v="42"/>
    <x v="63"/>
    <n v="2.6"/>
    <x v="1"/>
    <x v="0"/>
  </r>
  <r>
    <n v="92"/>
    <x v="5"/>
    <n v="1.1000000000000001"/>
    <x v="2"/>
    <x v="77"/>
    <n v="2.5"/>
    <x v="1"/>
    <x v="0"/>
  </r>
  <r>
    <n v="93"/>
    <x v="2"/>
    <n v="1.3"/>
    <x v="24"/>
    <x v="78"/>
    <n v="2.2000000000000002"/>
    <x v="1"/>
    <x v="0"/>
  </r>
  <r>
    <n v="94"/>
    <x v="2"/>
    <n v="3"/>
    <x v="33"/>
    <x v="79"/>
    <n v="0"/>
    <x v="1"/>
    <x v="0"/>
  </r>
  <r>
    <n v="95"/>
    <x v="5"/>
    <n v="2.2999999999999998"/>
    <x v="37"/>
    <x v="22"/>
    <n v="2.2999999999999998"/>
    <x v="0"/>
    <x v="0"/>
  </r>
  <r>
    <n v="96"/>
    <x v="2"/>
    <n v="1.8"/>
    <x v="17"/>
    <x v="80"/>
    <n v="1.5"/>
    <x v="1"/>
    <x v="0"/>
  </r>
  <r>
    <n v="97"/>
    <x v="1"/>
    <n v="2.6"/>
    <x v="21"/>
    <x v="19"/>
    <n v="0"/>
    <x v="0"/>
    <x v="0"/>
  </r>
  <r>
    <n v="98"/>
    <x v="3"/>
    <n v="2.1"/>
    <x v="37"/>
    <x v="81"/>
    <n v="2.5"/>
    <x v="0"/>
    <x v="0"/>
  </r>
  <r>
    <n v="99"/>
    <x v="3"/>
    <n v="4.4000000000000004"/>
    <x v="0"/>
    <x v="82"/>
    <n v="2.7"/>
    <x v="0"/>
    <x v="0"/>
  </r>
  <r>
    <n v="100"/>
    <x v="5"/>
    <n v="1.8"/>
    <x v="18"/>
    <x v="83"/>
    <n v="0"/>
    <x v="0"/>
    <x v="0"/>
  </r>
  <r>
    <n v="101"/>
    <x v="0"/>
    <n v="1.6"/>
    <x v="42"/>
    <x v="56"/>
    <n v="1.6"/>
    <x v="1"/>
    <x v="0"/>
  </r>
  <r>
    <n v="102"/>
    <x v="5"/>
    <n v="2"/>
    <x v="9"/>
    <x v="84"/>
    <n v="2.6"/>
    <x v="0"/>
    <x v="0"/>
  </r>
  <r>
    <n v="103"/>
    <x v="0"/>
    <n v="2.1"/>
    <x v="45"/>
    <x v="30"/>
    <n v="2.5"/>
    <x v="0"/>
    <x v="0"/>
  </r>
  <r>
    <n v="104"/>
    <x v="3"/>
    <n v="2.5"/>
    <x v="9"/>
    <x v="85"/>
    <n v="2.2000000000000002"/>
    <x v="0"/>
    <x v="0"/>
  </r>
  <r>
    <n v="105"/>
    <x v="5"/>
    <n v="0.5"/>
    <x v="29"/>
    <x v="86"/>
    <n v="0"/>
    <x v="0"/>
    <x v="0"/>
  </r>
  <r>
    <n v="106"/>
    <x v="1"/>
    <n v="2.9"/>
    <x v="27"/>
    <x v="87"/>
    <n v="2.1"/>
    <x v="1"/>
    <x v="0"/>
  </r>
  <r>
    <n v="107"/>
    <x v="2"/>
    <n v="2"/>
    <x v="29"/>
    <x v="88"/>
    <n v="1.3"/>
    <x v="0"/>
    <x v="0"/>
  </r>
  <r>
    <n v="108"/>
    <x v="0"/>
    <n v="3.3"/>
    <x v="46"/>
    <x v="75"/>
    <n v="2.2999999999999998"/>
    <x v="1"/>
    <x v="0"/>
  </r>
  <r>
    <n v="109"/>
    <x v="2"/>
    <n v="2.5"/>
    <x v="41"/>
    <x v="89"/>
    <n v="1.7"/>
    <x v="1"/>
    <x v="0"/>
  </r>
  <r>
    <n v="110"/>
    <x v="2"/>
    <n v="3"/>
    <x v="43"/>
    <x v="90"/>
    <n v="1.5"/>
    <x v="0"/>
    <x v="0"/>
  </r>
  <r>
    <n v="111"/>
    <x v="5"/>
    <n v="2.1"/>
    <x v="28"/>
    <x v="91"/>
    <n v="2"/>
    <x v="1"/>
    <x v="0"/>
  </r>
  <r>
    <n v="112"/>
    <x v="2"/>
    <n v="2.9"/>
    <x v="1"/>
    <x v="92"/>
    <n v="1.4"/>
    <x v="0"/>
    <x v="0"/>
  </r>
  <r>
    <n v="113"/>
    <x v="4"/>
    <n v="4.2"/>
    <x v="5"/>
    <x v="93"/>
    <n v="1.5"/>
    <x v="1"/>
    <x v="1"/>
  </r>
  <r>
    <n v="114"/>
    <x v="2"/>
    <n v="1.8"/>
    <x v="16"/>
    <x v="94"/>
    <n v="1.1000000000000001"/>
    <x v="1"/>
    <x v="0"/>
  </r>
  <r>
    <n v="115"/>
    <x v="5"/>
    <n v="2.4"/>
    <x v="8"/>
    <x v="95"/>
    <n v="0.2"/>
    <x v="1"/>
    <x v="0"/>
  </r>
  <r>
    <n v="116"/>
    <x v="1"/>
    <n v="2"/>
    <x v="5"/>
    <x v="86"/>
    <n v="2"/>
    <x v="1"/>
    <x v="0"/>
  </r>
  <r>
    <n v="117"/>
    <x v="3"/>
    <n v="4.0999999999999996"/>
    <x v="16"/>
    <x v="96"/>
    <n v="0.9"/>
    <x v="1"/>
    <x v="0"/>
  </r>
  <r>
    <n v="118"/>
    <x v="2"/>
    <n v="2.1"/>
    <x v="47"/>
    <x v="47"/>
    <n v="1.3"/>
    <x v="1"/>
    <x v="0"/>
  </r>
  <r>
    <n v="119"/>
    <x v="5"/>
    <n v="1.8"/>
    <x v="5"/>
    <x v="59"/>
    <n v="1.7"/>
    <x v="1"/>
    <x v="0"/>
  </r>
  <r>
    <n v="120"/>
    <x v="3"/>
    <n v="1.9"/>
    <x v="35"/>
    <x v="97"/>
    <n v="0"/>
    <x v="0"/>
    <x v="0"/>
  </r>
  <r>
    <n v="121"/>
    <x v="3"/>
    <n v="2.4"/>
    <x v="48"/>
    <x v="7"/>
    <n v="0"/>
    <x v="0"/>
    <x v="0"/>
  </r>
  <r>
    <n v="122"/>
    <x v="0"/>
    <n v="1.7"/>
    <x v="44"/>
    <x v="48"/>
    <n v="1.3"/>
    <x v="1"/>
    <x v="0"/>
  </r>
  <r>
    <n v="123"/>
    <x v="1"/>
    <n v="2.1"/>
    <x v="9"/>
    <x v="98"/>
    <n v="1.9"/>
    <x v="0"/>
    <x v="0"/>
  </r>
  <r>
    <n v="124"/>
    <x v="2"/>
    <n v="2.7"/>
    <x v="26"/>
    <x v="99"/>
    <n v="2.1"/>
    <x v="1"/>
    <x v="0"/>
  </r>
  <r>
    <n v="125"/>
    <x v="5"/>
    <n v="2.4"/>
    <x v="44"/>
    <x v="37"/>
    <n v="0.2"/>
    <x v="1"/>
    <x v="0"/>
  </r>
  <r>
    <n v="126"/>
    <x v="0"/>
    <n v="3.3"/>
    <x v="2"/>
    <x v="100"/>
    <n v="2"/>
    <x v="1"/>
    <x v="0"/>
  </r>
  <r>
    <n v="127"/>
    <x v="1"/>
    <n v="2.2000000000000002"/>
    <x v="34"/>
    <x v="1"/>
    <n v="1.3"/>
    <x v="0"/>
    <x v="0"/>
  </r>
  <r>
    <n v="128"/>
    <x v="0"/>
    <n v="2.2999999999999998"/>
    <x v="41"/>
    <x v="101"/>
    <n v="0.8"/>
    <x v="1"/>
    <x v="0"/>
  </r>
  <r>
    <n v="129"/>
    <x v="1"/>
    <n v="2.8"/>
    <x v="15"/>
    <x v="102"/>
    <n v="1"/>
    <x v="1"/>
    <x v="0"/>
  </r>
  <r>
    <n v="130"/>
    <x v="4"/>
    <n v="4.7"/>
    <x v="33"/>
    <x v="103"/>
    <n v="2.1"/>
    <x v="1"/>
    <x v="1"/>
  </r>
  <r>
    <n v="131"/>
    <x v="2"/>
    <n v="1.7"/>
    <x v="38"/>
    <x v="104"/>
    <n v="1.7"/>
    <x v="0"/>
    <x v="0"/>
  </r>
  <r>
    <n v="132"/>
    <x v="1"/>
    <n v="4.4000000000000004"/>
    <x v="10"/>
    <x v="105"/>
    <n v="1.5"/>
    <x v="1"/>
    <x v="0"/>
  </r>
  <r>
    <n v="133"/>
    <x v="0"/>
    <n v="1.3"/>
    <x v="7"/>
    <x v="106"/>
    <n v="1.7"/>
    <x v="1"/>
    <x v="0"/>
  </r>
  <r>
    <n v="134"/>
    <x v="1"/>
    <n v="2.7"/>
    <x v="30"/>
    <x v="107"/>
    <n v="2.2000000000000002"/>
    <x v="0"/>
    <x v="0"/>
  </r>
  <r>
    <n v="135"/>
    <x v="2"/>
    <n v="2.5"/>
    <x v="15"/>
    <x v="32"/>
    <n v="1.4"/>
    <x v="1"/>
    <x v="0"/>
  </r>
  <r>
    <n v="136"/>
    <x v="2"/>
    <n v="1.7"/>
    <x v="49"/>
    <x v="20"/>
    <n v="1.5"/>
    <x v="0"/>
    <x v="0"/>
  </r>
  <r>
    <n v="137"/>
    <x v="0"/>
    <n v="3.2"/>
    <x v="50"/>
    <x v="108"/>
    <n v="2.4"/>
    <x v="1"/>
    <x v="0"/>
  </r>
  <r>
    <n v="138"/>
    <x v="3"/>
    <n v="3.1"/>
    <x v="51"/>
    <x v="34"/>
    <n v="1.2"/>
    <x v="0"/>
    <x v="0"/>
  </r>
  <r>
    <n v="139"/>
    <x v="3"/>
    <n v="2"/>
    <x v="24"/>
    <x v="109"/>
    <n v="2"/>
    <x v="1"/>
    <x v="0"/>
  </r>
  <r>
    <n v="140"/>
    <x v="4"/>
    <n v="0.4"/>
    <x v="3"/>
    <x v="110"/>
    <n v="1.1000000000000001"/>
    <x v="0"/>
    <x v="1"/>
  </r>
  <r>
    <n v="141"/>
    <x v="5"/>
    <n v="2.1"/>
    <x v="26"/>
    <x v="111"/>
    <n v="1.2"/>
    <x v="1"/>
    <x v="0"/>
  </r>
  <r>
    <n v="142"/>
    <x v="1"/>
    <n v="2.6"/>
    <x v="18"/>
    <x v="112"/>
    <n v="1.4"/>
    <x v="0"/>
    <x v="0"/>
  </r>
  <r>
    <n v="143"/>
    <x v="0"/>
    <n v="2.5"/>
    <x v="52"/>
    <x v="113"/>
    <n v="1.9"/>
    <x v="1"/>
    <x v="0"/>
  </r>
  <r>
    <n v="144"/>
    <x v="0"/>
    <n v="3.3"/>
    <x v="9"/>
    <x v="114"/>
    <n v="2.5"/>
    <x v="0"/>
    <x v="0"/>
  </r>
  <r>
    <n v="145"/>
    <x v="0"/>
    <n v="4.4000000000000004"/>
    <x v="15"/>
    <x v="115"/>
    <n v="1.6"/>
    <x v="1"/>
    <x v="0"/>
  </r>
  <r>
    <n v="146"/>
    <x v="0"/>
    <n v="2.9"/>
    <x v="1"/>
    <x v="116"/>
    <n v="0.3"/>
    <x v="0"/>
    <x v="0"/>
  </r>
  <r>
    <n v="147"/>
    <x v="0"/>
    <n v="3.1"/>
    <x v="11"/>
    <x v="117"/>
    <n v="2"/>
    <x v="0"/>
    <x v="0"/>
  </r>
  <r>
    <n v="148"/>
    <x v="2"/>
    <n v="2.6"/>
    <x v="26"/>
    <x v="118"/>
    <n v="3.5"/>
    <x v="1"/>
    <x v="0"/>
  </r>
  <r>
    <n v="149"/>
    <x v="3"/>
    <n v="3.7"/>
    <x v="29"/>
    <x v="119"/>
    <n v="1.6"/>
    <x v="0"/>
    <x v="0"/>
  </r>
  <r>
    <n v="150"/>
    <x v="0"/>
    <n v="3"/>
    <x v="13"/>
    <x v="120"/>
    <n v="0.1"/>
    <x v="1"/>
    <x v="0"/>
  </r>
  <r>
    <n v="151"/>
    <x v="5"/>
    <n v="3.2"/>
    <x v="9"/>
    <x v="121"/>
    <n v="1.6"/>
    <x v="0"/>
    <x v="0"/>
  </r>
  <r>
    <n v="152"/>
    <x v="5"/>
    <n v="4.3"/>
    <x v="31"/>
    <x v="122"/>
    <n v="1.5"/>
    <x v="0"/>
    <x v="0"/>
  </r>
  <r>
    <n v="153"/>
    <x v="5"/>
    <n v="2.7"/>
    <x v="53"/>
    <x v="123"/>
    <n v="1.4"/>
    <x v="1"/>
    <x v="0"/>
  </r>
  <r>
    <n v="154"/>
    <x v="5"/>
    <n v="2.2000000000000002"/>
    <x v="54"/>
    <x v="124"/>
    <n v="2.2999999999999998"/>
    <x v="1"/>
    <x v="0"/>
  </r>
  <r>
    <n v="155"/>
    <x v="2"/>
    <n v="2.9"/>
    <x v="16"/>
    <x v="125"/>
    <n v="2.6"/>
    <x v="1"/>
    <x v="0"/>
  </r>
  <r>
    <n v="156"/>
    <x v="5"/>
    <n v="3.6"/>
    <x v="9"/>
    <x v="126"/>
    <n v="2"/>
    <x v="0"/>
    <x v="0"/>
  </r>
  <r>
    <n v="157"/>
    <x v="0"/>
    <n v="3"/>
    <x v="43"/>
    <x v="127"/>
    <n v="1.4"/>
    <x v="0"/>
    <x v="0"/>
  </r>
  <r>
    <n v="158"/>
    <x v="1"/>
    <n v="3.6"/>
    <x v="3"/>
    <x v="128"/>
    <n v="2.4"/>
    <x v="0"/>
    <x v="0"/>
  </r>
  <r>
    <n v="159"/>
    <x v="5"/>
    <n v="1.8"/>
    <x v="23"/>
    <x v="129"/>
    <n v="0.3"/>
    <x v="0"/>
    <x v="0"/>
  </r>
  <r>
    <n v="160"/>
    <x v="2"/>
    <n v="1.6"/>
    <x v="9"/>
    <x v="130"/>
    <n v="0.9"/>
    <x v="0"/>
    <x v="0"/>
  </r>
  <r>
    <n v="161"/>
    <x v="2"/>
    <n v="2"/>
    <x v="44"/>
    <x v="131"/>
    <n v="1"/>
    <x v="1"/>
    <x v="0"/>
  </r>
  <r>
    <n v="162"/>
    <x v="5"/>
    <n v="1.2"/>
    <x v="34"/>
    <x v="132"/>
    <n v="1.5"/>
    <x v="0"/>
    <x v="0"/>
  </r>
  <r>
    <n v="163"/>
    <x v="4"/>
    <n v="2.6"/>
    <x v="36"/>
    <x v="133"/>
    <n v="1.9"/>
    <x v="0"/>
    <x v="1"/>
  </r>
  <r>
    <n v="164"/>
    <x v="5"/>
    <n v="2.1"/>
    <x v="8"/>
    <x v="134"/>
    <n v="1.3"/>
    <x v="1"/>
    <x v="0"/>
  </r>
  <r>
    <n v="165"/>
    <x v="2"/>
    <n v="3.7"/>
    <x v="2"/>
    <x v="135"/>
    <n v="0.8"/>
    <x v="1"/>
    <x v="0"/>
  </r>
  <r>
    <n v="166"/>
    <x v="3"/>
    <n v="1.2"/>
    <x v="8"/>
    <x v="136"/>
    <n v="2.2999999999999998"/>
    <x v="1"/>
    <x v="0"/>
  </r>
  <r>
    <n v="167"/>
    <x v="0"/>
    <n v="4.0999999999999996"/>
    <x v="16"/>
    <x v="137"/>
    <n v="1.3"/>
    <x v="1"/>
    <x v="0"/>
  </r>
  <r>
    <n v="168"/>
    <x v="2"/>
    <n v="1.5"/>
    <x v="8"/>
    <x v="138"/>
    <n v="1.6"/>
    <x v="1"/>
    <x v="0"/>
  </r>
  <r>
    <n v="169"/>
    <x v="5"/>
    <n v="1.3"/>
    <x v="16"/>
    <x v="139"/>
    <n v="1.9"/>
    <x v="1"/>
    <x v="0"/>
  </r>
  <r>
    <n v="170"/>
    <x v="0"/>
    <n v="1.7"/>
    <x v="3"/>
    <x v="140"/>
    <n v="1.5"/>
    <x v="0"/>
    <x v="0"/>
  </r>
  <r>
    <n v="171"/>
    <x v="5"/>
    <n v="4.5"/>
    <x v="1"/>
    <x v="141"/>
    <n v="1.5"/>
    <x v="0"/>
    <x v="0"/>
  </r>
  <r>
    <n v="172"/>
    <x v="5"/>
    <n v="2.5"/>
    <x v="5"/>
    <x v="5"/>
    <n v="2.2999999999999998"/>
    <x v="1"/>
    <x v="0"/>
  </r>
  <r>
    <n v="173"/>
    <x v="3"/>
    <n v="3"/>
    <x v="7"/>
    <x v="34"/>
    <n v="1.6"/>
    <x v="1"/>
    <x v="0"/>
  </r>
  <r>
    <n v="174"/>
    <x v="0"/>
    <n v="2.2999999999999998"/>
    <x v="3"/>
    <x v="142"/>
    <n v="2.2000000000000002"/>
    <x v="0"/>
    <x v="0"/>
  </r>
  <r>
    <n v="175"/>
    <x v="0"/>
    <n v="2.4"/>
    <x v="15"/>
    <x v="18"/>
    <n v="1.9"/>
    <x v="1"/>
    <x v="0"/>
  </r>
  <r>
    <n v="176"/>
    <x v="3"/>
    <n v="2"/>
    <x v="25"/>
    <x v="143"/>
    <n v="3.1"/>
    <x v="1"/>
    <x v="0"/>
  </r>
  <r>
    <n v="177"/>
    <x v="2"/>
    <n v="2.6"/>
    <x v="36"/>
    <x v="144"/>
    <n v="1.8"/>
    <x v="0"/>
    <x v="0"/>
  </r>
  <r>
    <n v="178"/>
    <x v="5"/>
    <n v="3"/>
    <x v="55"/>
    <x v="95"/>
    <n v="2"/>
    <x v="0"/>
    <x v="0"/>
  </r>
  <r>
    <n v="179"/>
    <x v="1"/>
    <n v="4.2"/>
    <x v="5"/>
    <x v="20"/>
    <n v="2.4"/>
    <x v="1"/>
    <x v="0"/>
  </r>
  <r>
    <n v="180"/>
    <x v="5"/>
    <n v="0.6"/>
    <x v="35"/>
    <x v="135"/>
    <n v="1.6"/>
    <x v="0"/>
    <x v="0"/>
  </r>
  <r>
    <n v="181"/>
    <x v="5"/>
    <n v="4.0999999999999996"/>
    <x v="5"/>
    <x v="145"/>
    <n v="1"/>
    <x v="1"/>
    <x v="0"/>
  </r>
  <r>
    <n v="182"/>
    <x v="2"/>
    <n v="3"/>
    <x v="56"/>
    <x v="146"/>
    <n v="1.1000000000000001"/>
    <x v="0"/>
    <x v="0"/>
  </r>
  <r>
    <n v="183"/>
    <x v="5"/>
    <n v="2.1"/>
    <x v="38"/>
    <x v="147"/>
    <n v="1.1000000000000001"/>
    <x v="0"/>
    <x v="0"/>
  </r>
  <r>
    <n v="184"/>
    <x v="3"/>
    <n v="2"/>
    <x v="2"/>
    <x v="104"/>
    <n v="0.7"/>
    <x v="1"/>
    <x v="0"/>
  </r>
  <r>
    <n v="185"/>
    <x v="3"/>
    <n v="3.5"/>
    <x v="14"/>
    <x v="52"/>
    <n v="1.8"/>
    <x v="0"/>
    <x v="0"/>
  </r>
  <r>
    <n v="186"/>
    <x v="0"/>
    <n v="2.7"/>
    <x v="1"/>
    <x v="148"/>
    <n v="1"/>
    <x v="0"/>
    <x v="0"/>
  </r>
  <r>
    <n v="187"/>
    <x v="4"/>
    <n v="1"/>
    <x v="17"/>
    <x v="149"/>
    <n v="1.7"/>
    <x v="1"/>
    <x v="1"/>
  </r>
  <r>
    <n v="188"/>
    <x v="5"/>
    <n v="2.9"/>
    <x v="11"/>
    <x v="150"/>
    <n v="1.4"/>
    <x v="0"/>
    <x v="0"/>
  </r>
  <r>
    <n v="189"/>
    <x v="5"/>
    <n v="3.6"/>
    <x v="57"/>
    <x v="147"/>
    <n v="1.5"/>
    <x v="1"/>
    <x v="0"/>
  </r>
  <r>
    <n v="190"/>
    <x v="2"/>
    <n v="3.4"/>
    <x v="23"/>
    <x v="151"/>
    <n v="1.9"/>
    <x v="0"/>
    <x v="0"/>
  </r>
  <r>
    <n v="191"/>
    <x v="3"/>
    <n v="1.9"/>
    <x v="7"/>
    <x v="152"/>
    <n v="1.1000000000000001"/>
    <x v="1"/>
    <x v="0"/>
  </r>
  <r>
    <n v="192"/>
    <x v="4"/>
    <n v="1.2"/>
    <x v="53"/>
    <x v="153"/>
    <n v="2"/>
    <x v="1"/>
    <x v="1"/>
  </r>
  <r>
    <n v="193"/>
    <x v="0"/>
    <n v="2.2000000000000002"/>
    <x v="58"/>
    <x v="116"/>
    <n v="2.8"/>
    <x v="1"/>
    <x v="0"/>
  </r>
  <r>
    <n v="194"/>
    <x v="3"/>
    <n v="5.8"/>
    <x v="59"/>
    <x v="154"/>
    <n v="1.8"/>
    <x v="1"/>
    <x v="0"/>
  </r>
  <r>
    <n v="195"/>
    <x v="0"/>
    <n v="1"/>
    <x v="38"/>
    <x v="155"/>
    <n v="0.9"/>
    <x v="0"/>
    <x v="0"/>
  </r>
  <r>
    <n v="196"/>
    <x v="2"/>
    <n v="1.7"/>
    <x v="51"/>
    <x v="156"/>
    <n v="1"/>
    <x v="0"/>
    <x v="0"/>
  </r>
  <r>
    <n v="197"/>
    <x v="2"/>
    <n v="2.9"/>
    <x v="2"/>
    <x v="86"/>
    <n v="1.3"/>
    <x v="1"/>
    <x v="0"/>
  </r>
  <r>
    <n v="198"/>
    <x v="5"/>
    <n v="2.4"/>
    <x v="27"/>
    <x v="157"/>
    <n v="1"/>
    <x v="1"/>
    <x v="0"/>
  </r>
  <r>
    <n v="199"/>
    <x v="1"/>
    <n v="2.2999999999999998"/>
    <x v="1"/>
    <x v="158"/>
    <n v="0.7"/>
    <x v="0"/>
    <x v="0"/>
  </r>
  <r>
    <n v="200"/>
    <x v="0"/>
    <n v="4.5"/>
    <x v="55"/>
    <x v="148"/>
    <n v="1.6"/>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D282A3-1567-4F8D-B5F4-640E68DB27FE}"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rowHeaderCaption="Screen_Category">
  <location ref="A3:B64" firstHeaderRow="1" firstDataRow="1" firstDataCol="1"/>
  <pivotFields count="8">
    <pivotField showAll="0"/>
    <pivotField showAll="0"/>
    <pivotField showAll="0"/>
    <pivotField axis="axisRow" showAll="0">
      <items count="61">
        <item x="45"/>
        <item x="32"/>
        <item x="19"/>
        <item x="49"/>
        <item x="48"/>
        <item x="22"/>
        <item x="55"/>
        <item x="12"/>
        <item x="38"/>
        <item x="4"/>
        <item x="30"/>
        <item x="11"/>
        <item x="56"/>
        <item x="36"/>
        <item x="51"/>
        <item x="20"/>
        <item x="18"/>
        <item x="0"/>
        <item x="3"/>
        <item x="21"/>
        <item x="37"/>
        <item x="23"/>
        <item x="29"/>
        <item x="35"/>
        <item x="43"/>
        <item x="14"/>
        <item x="9"/>
        <item x="34"/>
        <item x="39"/>
        <item x="31"/>
        <item x="1"/>
        <item x="8"/>
        <item x="40"/>
        <item x="2"/>
        <item x="5"/>
        <item x="42"/>
        <item x="7"/>
        <item x="15"/>
        <item x="26"/>
        <item x="33"/>
        <item x="25"/>
        <item x="16"/>
        <item x="27"/>
        <item x="52"/>
        <item x="13"/>
        <item x="28"/>
        <item x="10"/>
        <item x="17"/>
        <item x="41"/>
        <item x="58"/>
        <item x="24"/>
        <item x="53"/>
        <item x="6"/>
        <item x="44"/>
        <item x="59"/>
        <item x="47"/>
        <item x="50"/>
        <item x="54"/>
        <item x="46"/>
        <item x="57"/>
        <item t="default"/>
      </items>
    </pivotField>
    <pivotField dataField="1" showAll="0">
      <items count="160">
        <item x="128"/>
        <item x="74"/>
        <item x="53"/>
        <item x="49"/>
        <item x="54"/>
        <item x="3"/>
        <item x="69"/>
        <item x="138"/>
        <item x="24"/>
        <item x="118"/>
        <item x="142"/>
        <item x="50"/>
        <item x="10"/>
        <item x="145"/>
        <item x="22"/>
        <item x="114"/>
        <item x="119"/>
        <item x="92"/>
        <item x="40"/>
        <item x="89"/>
        <item x="102"/>
        <item x="78"/>
        <item x="90"/>
        <item x="28"/>
        <item x="124"/>
        <item x="83"/>
        <item x="71"/>
        <item x="96"/>
        <item x="112"/>
        <item x="146"/>
        <item x="56"/>
        <item x="113"/>
        <item x="133"/>
        <item x="15"/>
        <item x="139"/>
        <item x="23"/>
        <item x="104"/>
        <item x="94"/>
        <item x="79"/>
        <item x="106"/>
        <item x="107"/>
        <item x="86"/>
        <item x="140"/>
        <item x="80"/>
        <item x="30"/>
        <item x="111"/>
        <item x="131"/>
        <item x="127"/>
        <item x="153"/>
        <item x="87"/>
        <item x="155"/>
        <item x="117"/>
        <item x="37"/>
        <item x="12"/>
        <item x="67"/>
        <item x="46"/>
        <item x="75"/>
        <item x="158"/>
        <item x="129"/>
        <item x="64"/>
        <item x="116"/>
        <item x="41"/>
        <item x="97"/>
        <item x="132"/>
        <item x="2"/>
        <item x="1"/>
        <item x="154"/>
        <item x="7"/>
        <item x="65"/>
        <item x="99"/>
        <item x="58"/>
        <item x="20"/>
        <item x="135"/>
        <item x="100"/>
        <item x="34"/>
        <item x="109"/>
        <item x="18"/>
        <item x="5"/>
        <item x="31"/>
        <item x="73"/>
        <item x="84"/>
        <item x="81"/>
        <item x="147"/>
        <item x="130"/>
        <item x="47"/>
        <item x="68"/>
        <item x="17"/>
        <item x="103"/>
        <item x="121"/>
        <item x="101"/>
        <item x="88"/>
        <item x="32"/>
        <item x="38"/>
        <item x="148"/>
        <item x="60"/>
        <item x="13"/>
        <item x="0"/>
        <item x="57"/>
        <item x="91"/>
        <item x="8"/>
        <item x="36"/>
        <item x="42"/>
        <item x="95"/>
        <item x="27"/>
        <item x="14"/>
        <item x="39"/>
        <item x="35"/>
        <item x="33"/>
        <item x="52"/>
        <item x="63"/>
        <item x="151"/>
        <item x="19"/>
        <item x="4"/>
        <item x="48"/>
        <item x="44"/>
        <item x="9"/>
        <item x="98"/>
        <item x="144"/>
        <item x="82"/>
        <item x="21"/>
        <item x="105"/>
        <item x="134"/>
        <item x="136"/>
        <item x="150"/>
        <item x="62"/>
        <item x="143"/>
        <item x="51"/>
        <item x="152"/>
        <item x="156"/>
        <item x="123"/>
        <item x="59"/>
        <item x="110"/>
        <item x="122"/>
        <item x="55"/>
        <item x="137"/>
        <item x="157"/>
        <item x="85"/>
        <item x="76"/>
        <item x="115"/>
        <item x="149"/>
        <item x="93"/>
        <item x="120"/>
        <item x="77"/>
        <item x="61"/>
        <item x="43"/>
        <item x="45"/>
        <item x="6"/>
        <item x="66"/>
        <item x="16"/>
        <item x="126"/>
        <item x="26"/>
        <item x="25"/>
        <item x="70"/>
        <item x="108"/>
        <item x="29"/>
        <item x="125"/>
        <item x="141"/>
        <item x="11"/>
        <item x="72"/>
        <item t="default"/>
      </items>
    </pivotField>
    <pivotField showAll="0"/>
    <pivotField showAll="0">
      <items count="3">
        <item x="1"/>
        <item x="0"/>
        <item t="default"/>
      </items>
    </pivotField>
    <pivotField showAll="0">
      <items count="3">
        <item x="1"/>
        <item x="0"/>
        <item t="default"/>
      </items>
    </pivotField>
  </pivotFields>
  <rowFields count="1">
    <field x="3"/>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Sum of Test_Scores" fld="4" baseField="0" baseItem="0"/>
  </dataFields>
  <formats count="1">
    <format dxfId="71">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59DB84-2D16-4779-8B1D-5457C2D692E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creen_Category">
  <location ref="L3:M10" firstHeaderRow="1" firstDataRow="1" firstDataCol="1"/>
  <pivotFields count="8">
    <pivotField showAll="0"/>
    <pivotField axis="axisRow" showAll="0">
      <items count="7">
        <item x="5"/>
        <item x="3"/>
        <item x="2"/>
        <item x="0"/>
        <item x="1"/>
        <item x="4"/>
        <item t="default"/>
      </items>
    </pivotField>
    <pivotField showAll="0"/>
    <pivotField showAll="0" avgSubtotal="1">
      <items count="61">
        <item x="45"/>
        <item x="32"/>
        <item x="19"/>
        <item x="49"/>
        <item x="48"/>
        <item x="22"/>
        <item x="55"/>
        <item x="12"/>
        <item x="38"/>
        <item x="4"/>
        <item x="30"/>
        <item x="11"/>
        <item x="56"/>
        <item x="36"/>
        <item x="51"/>
        <item x="20"/>
        <item x="18"/>
        <item x="0"/>
        <item x="3"/>
        <item x="21"/>
        <item x="37"/>
        <item x="23"/>
        <item x="29"/>
        <item x="35"/>
        <item x="43"/>
        <item x="14"/>
        <item x="9"/>
        <item x="34"/>
        <item x="39"/>
        <item x="31"/>
        <item x="1"/>
        <item x="8"/>
        <item x="40"/>
        <item x="2"/>
        <item x="5"/>
        <item x="42"/>
        <item x="7"/>
        <item x="15"/>
        <item x="26"/>
        <item x="33"/>
        <item x="25"/>
        <item x="16"/>
        <item x="27"/>
        <item x="52"/>
        <item x="13"/>
        <item x="28"/>
        <item x="10"/>
        <item x="17"/>
        <item x="41"/>
        <item x="58"/>
        <item x="24"/>
        <item x="53"/>
        <item x="6"/>
        <item x="44"/>
        <item x="59"/>
        <item x="47"/>
        <item x="50"/>
        <item x="54"/>
        <item x="46"/>
        <item x="57"/>
        <item t="avg"/>
      </items>
    </pivotField>
    <pivotField dataField="1" showAll="0"/>
    <pivotField showAll="0"/>
    <pivotField showAll="0">
      <items count="3">
        <item x="1"/>
        <item x="0"/>
        <item t="default"/>
      </items>
    </pivotField>
    <pivotField showAll="0">
      <items count="3">
        <item x="1"/>
        <item x="0"/>
        <item t="default"/>
      </items>
    </pivotField>
  </pivotFields>
  <rowFields count="1">
    <field x="1"/>
  </rowFields>
  <rowItems count="7">
    <i>
      <x/>
    </i>
    <i>
      <x v="1"/>
    </i>
    <i>
      <x v="2"/>
    </i>
    <i>
      <x v="3"/>
    </i>
    <i>
      <x v="4"/>
    </i>
    <i>
      <x v="5"/>
    </i>
    <i t="grand">
      <x/>
    </i>
  </rowItems>
  <colItems count="1">
    <i/>
  </colItems>
  <dataFields count="1">
    <dataField name="Average of Test_Scores" fld="4" subtotal="average" baseField="1" baseItem="0"/>
  </dataFields>
  <formats count="1">
    <format dxfId="72">
      <pivotArea outline="0" collapsedLevelsAreSubtotals="1" fieldPosition="0"/>
    </format>
  </formats>
  <chartFormats count="7">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 chart="2" format="12">
      <pivotArea type="data" outline="0" fieldPosition="0">
        <references count="2">
          <reference field="4294967294" count="1" selected="0">
            <x v="0"/>
          </reference>
          <reference field="1" count="1" selected="0">
            <x v="3"/>
          </reference>
        </references>
      </pivotArea>
    </chartFormat>
    <chartFormat chart="2" format="13">
      <pivotArea type="data" outline="0" fieldPosition="0">
        <references count="2">
          <reference field="4294967294" count="1" selected="0">
            <x v="0"/>
          </reference>
          <reference field="1" count="1" selected="0">
            <x v="4"/>
          </reference>
        </references>
      </pivotArea>
    </chartFormat>
    <chartFormat chart="2" format="14">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5CC8BB-AB07-49C8-B9C1-9F17B546E88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creen_Category">
  <location ref="I3:J6" firstHeaderRow="1" firstDataRow="1" firstDataCol="1"/>
  <pivotFields count="8">
    <pivotField showAll="0"/>
    <pivotField showAll="0"/>
    <pivotField showAll="0"/>
    <pivotField showAll="0" avgSubtotal="1">
      <items count="61">
        <item x="45"/>
        <item x="32"/>
        <item x="19"/>
        <item x="49"/>
        <item x="48"/>
        <item x="22"/>
        <item x="55"/>
        <item x="12"/>
        <item x="38"/>
        <item x="4"/>
        <item x="30"/>
        <item x="11"/>
        <item x="56"/>
        <item x="36"/>
        <item x="51"/>
        <item x="20"/>
        <item x="18"/>
        <item x="0"/>
        <item x="3"/>
        <item x="21"/>
        <item x="37"/>
        <item x="23"/>
        <item x="29"/>
        <item x="35"/>
        <item x="43"/>
        <item x="14"/>
        <item x="9"/>
        <item x="34"/>
        <item x="39"/>
        <item x="31"/>
        <item x="1"/>
        <item x="8"/>
        <item x="40"/>
        <item x="2"/>
        <item x="5"/>
        <item x="42"/>
        <item x="7"/>
        <item x="15"/>
        <item x="26"/>
        <item x="33"/>
        <item x="25"/>
        <item x="16"/>
        <item x="27"/>
        <item x="52"/>
        <item x="13"/>
        <item x="28"/>
        <item x="10"/>
        <item x="17"/>
        <item x="41"/>
        <item x="58"/>
        <item x="24"/>
        <item x="53"/>
        <item x="6"/>
        <item x="44"/>
        <item x="59"/>
        <item x="47"/>
        <item x="50"/>
        <item x="54"/>
        <item x="46"/>
        <item x="57"/>
        <item t="avg"/>
      </items>
    </pivotField>
    <pivotField showAll="0"/>
    <pivotField dataField="1" showAll="0"/>
    <pivotField axis="axisRow" showAll="0">
      <items count="3">
        <item x="1"/>
        <item x="0"/>
        <item t="default"/>
      </items>
    </pivotField>
    <pivotField showAll="0">
      <items count="3">
        <item x="1"/>
        <item x="0"/>
        <item t="default"/>
      </items>
    </pivotField>
  </pivotFields>
  <rowFields count="1">
    <field x="6"/>
  </rowFields>
  <rowItems count="3">
    <i>
      <x/>
    </i>
    <i>
      <x v="1"/>
    </i>
    <i t="grand">
      <x/>
    </i>
  </rowItems>
  <colItems count="1">
    <i/>
  </colItems>
  <dataFields count="1">
    <dataField name="Average of Extra_Curricular_Hours" fld="5" subtotal="average" baseField="6" baseItem="0"/>
  </dataFields>
  <formats count="1">
    <format dxfId="73">
      <pivotArea outline="0" collapsedLevelsAreSubtotals="1" fieldPosition="0"/>
    </format>
  </format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6" count="1" selected="0">
            <x v="0"/>
          </reference>
        </references>
      </pivotArea>
    </chartFormat>
    <chartFormat chart="5"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449755-7DCC-41C7-9394-4213E39EC3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creen_Category">
  <location ref="F3:G6" firstHeaderRow="1" firstDataRow="1" firstDataCol="1"/>
  <pivotFields count="8">
    <pivotField showAll="0"/>
    <pivotField showAll="0"/>
    <pivotField showAll="0"/>
    <pivotField dataField="1" showAll="0"/>
    <pivotField showAll="0"/>
    <pivotField showAll="0"/>
    <pivotField axis="axisRow" showAll="0">
      <items count="3">
        <item x="1"/>
        <item x="0"/>
        <item t="default"/>
      </items>
    </pivotField>
    <pivotField showAll="0">
      <items count="3">
        <item x="1"/>
        <item x="0"/>
        <item t="default"/>
      </items>
    </pivotField>
  </pivotFields>
  <rowFields count="1">
    <field x="6"/>
  </rowFields>
  <rowItems count="3">
    <i>
      <x/>
    </i>
    <i>
      <x v="1"/>
    </i>
    <i t="grand">
      <x/>
    </i>
  </rowItems>
  <colItems count="1">
    <i/>
  </colItems>
  <dataFields count="1">
    <dataField name="Average of Screen_Time" fld="3" subtotal="average" baseField="6" baseItem="0" numFmtId="2"/>
  </dataFields>
  <formats count="1">
    <format dxfId="74">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reen_Category" xr10:uid="{EED87F21-FAC2-48AE-88A1-2358CA3D4B0D}" sourceName="Screen_Category">
  <pivotTables>
    <pivotTable tabId="2" name="PivotTable1"/>
    <pivotTable tabId="2" name="PivotTable2"/>
    <pivotTable tabId="2" name="PivotTable3"/>
    <pivotTable tabId="2" name="PivotTable6"/>
  </pivotTables>
  <data>
    <tabular pivotCacheId="1436713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_Group" xr10:uid="{0C5FE119-35E3-4FE7-8AFE-FABAF708E8C8}" sourceName="Age _Group">
  <pivotTables>
    <pivotTable tabId="2" name="PivotTable1"/>
    <pivotTable tabId="2" name="PivotTable2"/>
    <pivotTable tabId="2" name="PivotTable3"/>
    <pivotTable tabId="2" name="PivotTable6"/>
  </pivotTables>
  <data>
    <tabular pivotCacheId="1436713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creen_Category" xr10:uid="{40D9CDDC-E8CF-4DC2-B832-E4EC5ADFF721}" cache="Slicer_Screen_Category" caption="Screen_Category" style="SlicerStyleDark4" rowHeight="244336"/>
  <slicer name="Age _Group" xr10:uid="{BB896139-99D9-4D67-AD57-9CD72D03EEBF}" cache="Slicer_Age__Group" caption="Age _Group" style="SlicerStyleDark4" rowHeight="24433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3719B-619D-411A-A7C8-4F74AACCAD98}">
  <dimension ref="A2:M64"/>
  <sheetViews>
    <sheetView workbookViewId="0">
      <selection activeCell="A3" sqref="A3:B64"/>
    </sheetView>
  </sheetViews>
  <sheetFormatPr defaultRowHeight="15.05" x14ac:dyDescent="0.3"/>
  <cols>
    <col min="1" max="1" width="17.44140625" bestFit="1" customWidth="1"/>
    <col min="2" max="2" width="17.5546875" bestFit="1" customWidth="1"/>
    <col min="6" max="6" width="17.44140625" bestFit="1" customWidth="1"/>
    <col min="7" max="7" width="21.6640625" bestFit="1" customWidth="1"/>
    <col min="8" max="8" width="1.77734375" customWidth="1"/>
    <col min="9" max="9" width="17.44140625" bestFit="1" customWidth="1"/>
    <col min="10" max="10" width="30.33203125" bestFit="1" customWidth="1"/>
    <col min="11" max="11" width="2" customWidth="1"/>
    <col min="12" max="12" width="17.44140625" bestFit="1" customWidth="1"/>
    <col min="13" max="13" width="20.6640625" bestFit="1" customWidth="1"/>
  </cols>
  <sheetData>
    <row r="2" spans="1:13" x14ac:dyDescent="0.3">
      <c r="F2" s="8" t="s">
        <v>12</v>
      </c>
      <c r="G2" s="9"/>
      <c r="I2" s="8" t="s">
        <v>14</v>
      </c>
      <c r="J2" s="8"/>
      <c r="L2" s="8" t="s">
        <v>16</v>
      </c>
      <c r="M2" s="8"/>
    </row>
    <row r="3" spans="1:13" x14ac:dyDescent="0.3">
      <c r="A3" s="5" t="s">
        <v>6</v>
      </c>
      <c r="B3" t="s">
        <v>17</v>
      </c>
      <c r="F3" s="5" t="s">
        <v>6</v>
      </c>
      <c r="G3" t="s">
        <v>11</v>
      </c>
      <c r="I3" s="5" t="s">
        <v>6</v>
      </c>
      <c r="J3" t="s">
        <v>13</v>
      </c>
      <c r="L3" s="5" t="s">
        <v>6</v>
      </c>
      <c r="M3" t="s">
        <v>15</v>
      </c>
    </row>
    <row r="4" spans="1:13" x14ac:dyDescent="0.3">
      <c r="A4" s="6">
        <v>0</v>
      </c>
      <c r="B4" s="7">
        <v>64</v>
      </c>
      <c r="C4">
        <f>A4</f>
        <v>0</v>
      </c>
      <c r="D4">
        <f>GETPIVOTDATA("Test_Scores",$A$3,"Screen_Time",0)</f>
        <v>64</v>
      </c>
      <c r="F4" s="6" t="s">
        <v>8</v>
      </c>
      <c r="G4" s="7">
        <v>5.2303030303030296</v>
      </c>
      <c r="I4" s="6" t="s">
        <v>8</v>
      </c>
      <c r="J4" s="7">
        <v>1.6404040404040408</v>
      </c>
      <c r="L4" s="6">
        <v>13</v>
      </c>
      <c r="M4" s="7">
        <v>71.955813953488374</v>
      </c>
    </row>
    <row r="5" spans="1:13" x14ac:dyDescent="0.3">
      <c r="A5" s="6">
        <v>0.2</v>
      </c>
      <c r="B5" s="7">
        <v>77.599999999999994</v>
      </c>
      <c r="C5">
        <f t="shared" ref="C5:C64" si="0">A5</f>
        <v>0.2</v>
      </c>
      <c r="D5">
        <f>GETPIVOTDATA("Test_Scores",A5,"Screen_Time",0)</f>
        <v>64</v>
      </c>
      <c r="F5" s="6" t="s">
        <v>9</v>
      </c>
      <c r="G5" s="7">
        <v>2.8079207920792078</v>
      </c>
      <c r="I5" s="6" t="s">
        <v>9</v>
      </c>
      <c r="J5" s="7">
        <v>1.440594059405941</v>
      </c>
      <c r="L5" s="6">
        <v>14</v>
      </c>
      <c r="M5" s="7">
        <v>72.578571428571422</v>
      </c>
    </row>
    <row r="6" spans="1:13" x14ac:dyDescent="0.3">
      <c r="A6" s="6">
        <v>0.5</v>
      </c>
      <c r="B6" s="7">
        <v>62.5</v>
      </c>
      <c r="C6">
        <f t="shared" si="0"/>
        <v>0.5</v>
      </c>
      <c r="D6">
        <f t="shared" ref="D6:D9" si="1">GETPIVOTDATA("Test_Scores",A6,"Screen_Time",0)</f>
        <v>64</v>
      </c>
      <c r="F6" s="6" t="s">
        <v>10</v>
      </c>
      <c r="G6" s="7">
        <v>4.0070000000000023</v>
      </c>
      <c r="I6" s="6" t="s">
        <v>10</v>
      </c>
      <c r="J6" s="7">
        <v>1.5395000000000001</v>
      </c>
      <c r="L6" s="6">
        <v>15</v>
      </c>
      <c r="M6" s="7">
        <v>70.959459459459453</v>
      </c>
    </row>
    <row r="7" spans="1:13" x14ac:dyDescent="0.3">
      <c r="A7" s="6">
        <v>0.9</v>
      </c>
      <c r="B7" s="7">
        <v>70.099999999999994</v>
      </c>
      <c r="C7">
        <f t="shared" si="0"/>
        <v>0.9</v>
      </c>
      <c r="D7">
        <f t="shared" si="1"/>
        <v>64</v>
      </c>
      <c r="L7" s="6">
        <v>16</v>
      </c>
      <c r="M7" s="7">
        <v>70.591836734693871</v>
      </c>
    </row>
    <row r="8" spans="1:13" x14ac:dyDescent="0.3">
      <c r="A8" s="6">
        <v>1</v>
      </c>
      <c r="B8" s="7">
        <v>69.3</v>
      </c>
      <c r="C8">
        <f t="shared" si="0"/>
        <v>1</v>
      </c>
      <c r="D8">
        <f t="shared" si="1"/>
        <v>64</v>
      </c>
      <c r="L8" s="6">
        <v>17</v>
      </c>
      <c r="M8" s="7">
        <v>66.297826086956519</v>
      </c>
    </row>
    <row r="9" spans="1:13" x14ac:dyDescent="0.3">
      <c r="A9" s="6">
        <v>1.2</v>
      </c>
      <c r="B9" s="7">
        <v>125.5</v>
      </c>
      <c r="C9">
        <f t="shared" si="0"/>
        <v>1.2</v>
      </c>
      <c r="D9">
        <f t="shared" si="1"/>
        <v>64</v>
      </c>
      <c r="L9" s="6">
        <v>18</v>
      </c>
      <c r="M9" s="7">
        <v>72.230769230769226</v>
      </c>
    </row>
    <row r="10" spans="1:13" x14ac:dyDescent="0.3">
      <c r="A10" s="6">
        <v>1.5</v>
      </c>
      <c r="B10" s="7">
        <v>150.9</v>
      </c>
      <c r="C10">
        <f t="shared" si="0"/>
        <v>1.5</v>
      </c>
      <c r="D10">
        <f t="shared" ref="D5:D64" si="2">GETPIVOTDATA("Test_Scores",$A$3,"Screen_Time",0)</f>
        <v>64</v>
      </c>
      <c r="L10" s="6" t="s">
        <v>10</v>
      </c>
      <c r="M10" s="7">
        <v>70.913500000000056</v>
      </c>
    </row>
    <row r="11" spans="1:13" x14ac:dyDescent="0.3">
      <c r="A11" s="6">
        <v>1.6</v>
      </c>
      <c r="B11" s="7">
        <v>156.9</v>
      </c>
      <c r="C11">
        <f t="shared" si="0"/>
        <v>1.6</v>
      </c>
      <c r="D11">
        <f t="shared" si="2"/>
        <v>64</v>
      </c>
    </row>
    <row r="12" spans="1:13" x14ac:dyDescent="0.3">
      <c r="A12" s="6">
        <v>1.7</v>
      </c>
      <c r="B12" s="7">
        <v>275.09999999999997</v>
      </c>
      <c r="C12">
        <f t="shared" si="0"/>
        <v>1.7</v>
      </c>
      <c r="D12">
        <f t="shared" si="2"/>
        <v>64</v>
      </c>
    </row>
    <row r="13" spans="1:13" x14ac:dyDescent="0.3">
      <c r="A13" s="6">
        <v>1.8</v>
      </c>
      <c r="B13" s="7">
        <v>142</v>
      </c>
      <c r="C13">
        <f t="shared" si="0"/>
        <v>1.8</v>
      </c>
      <c r="D13">
        <f t="shared" si="2"/>
        <v>64</v>
      </c>
    </row>
    <row r="14" spans="1:13" x14ac:dyDescent="0.3">
      <c r="A14" s="6">
        <v>1.9</v>
      </c>
      <c r="B14" s="7">
        <v>134.25</v>
      </c>
      <c r="C14">
        <f t="shared" si="0"/>
        <v>1.9</v>
      </c>
      <c r="D14">
        <f t="shared" si="2"/>
        <v>64</v>
      </c>
    </row>
    <row r="15" spans="1:13" x14ac:dyDescent="0.3">
      <c r="A15" s="6">
        <v>2</v>
      </c>
      <c r="B15" s="7">
        <v>302.10000000000002</v>
      </c>
      <c r="C15">
        <f t="shared" si="0"/>
        <v>2</v>
      </c>
      <c r="D15">
        <f t="shared" si="2"/>
        <v>64</v>
      </c>
    </row>
    <row r="16" spans="1:13" x14ac:dyDescent="0.3">
      <c r="A16" s="6">
        <v>2.1</v>
      </c>
      <c r="B16" s="7">
        <v>61</v>
      </c>
      <c r="C16">
        <f t="shared" si="0"/>
        <v>2.1</v>
      </c>
      <c r="D16">
        <f t="shared" si="2"/>
        <v>64</v>
      </c>
    </row>
    <row r="17" spans="1:4" x14ac:dyDescent="0.3">
      <c r="A17" s="6">
        <v>2.2000000000000002</v>
      </c>
      <c r="B17" s="7">
        <v>286.70000000000005</v>
      </c>
      <c r="C17">
        <f t="shared" si="0"/>
        <v>2.2000000000000002</v>
      </c>
      <c r="D17">
        <f t="shared" si="2"/>
        <v>64</v>
      </c>
    </row>
    <row r="18" spans="1:4" x14ac:dyDescent="0.3">
      <c r="A18" s="6">
        <v>2.2999999999999998</v>
      </c>
      <c r="B18" s="7">
        <v>151.05000000000001</v>
      </c>
      <c r="C18">
        <f t="shared" si="0"/>
        <v>2.2999999999999998</v>
      </c>
      <c r="D18">
        <f t="shared" si="2"/>
        <v>64</v>
      </c>
    </row>
    <row r="19" spans="1:4" x14ac:dyDescent="0.3">
      <c r="A19" s="6">
        <v>2.5</v>
      </c>
      <c r="B19" s="7">
        <v>141.4</v>
      </c>
      <c r="C19">
        <f t="shared" si="0"/>
        <v>2.5</v>
      </c>
      <c r="D19">
        <f t="shared" si="2"/>
        <v>64</v>
      </c>
    </row>
    <row r="20" spans="1:4" x14ac:dyDescent="0.3">
      <c r="A20" s="6">
        <v>2.6</v>
      </c>
      <c r="B20" s="7">
        <v>174.70000000000002</v>
      </c>
      <c r="C20">
        <f t="shared" si="0"/>
        <v>2.6</v>
      </c>
      <c r="D20">
        <f t="shared" si="2"/>
        <v>64</v>
      </c>
    </row>
    <row r="21" spans="1:4" x14ac:dyDescent="0.3">
      <c r="A21" s="6">
        <v>2.7</v>
      </c>
      <c r="B21" s="7">
        <v>434.74999999999994</v>
      </c>
      <c r="C21">
        <f t="shared" si="0"/>
        <v>2.7</v>
      </c>
      <c r="D21">
        <f t="shared" si="2"/>
        <v>64</v>
      </c>
    </row>
    <row r="22" spans="1:4" x14ac:dyDescent="0.3">
      <c r="A22" s="6">
        <v>2.8</v>
      </c>
      <c r="B22" s="7">
        <v>339</v>
      </c>
      <c r="C22">
        <f t="shared" si="0"/>
        <v>2.8</v>
      </c>
      <c r="D22">
        <f t="shared" si="2"/>
        <v>64</v>
      </c>
    </row>
    <row r="23" spans="1:4" x14ac:dyDescent="0.3">
      <c r="A23" s="6">
        <v>2.9</v>
      </c>
      <c r="B23" s="7">
        <v>153.89999999999998</v>
      </c>
      <c r="C23">
        <f t="shared" si="0"/>
        <v>2.9</v>
      </c>
      <c r="D23">
        <f t="shared" si="2"/>
        <v>64</v>
      </c>
    </row>
    <row r="24" spans="1:4" x14ac:dyDescent="0.3">
      <c r="A24" s="6">
        <v>3</v>
      </c>
      <c r="B24" s="7">
        <v>300.20000000000005</v>
      </c>
      <c r="C24">
        <f t="shared" si="0"/>
        <v>3</v>
      </c>
      <c r="D24">
        <f t="shared" si="2"/>
        <v>64</v>
      </c>
    </row>
    <row r="25" spans="1:4" x14ac:dyDescent="0.3">
      <c r="A25" s="6">
        <v>3.1</v>
      </c>
      <c r="B25" s="7">
        <v>237.8</v>
      </c>
      <c r="C25">
        <f t="shared" si="0"/>
        <v>3.1</v>
      </c>
      <c r="D25">
        <f t="shared" si="2"/>
        <v>64</v>
      </c>
    </row>
    <row r="26" spans="1:4" x14ac:dyDescent="0.3">
      <c r="A26" s="6">
        <v>3.2</v>
      </c>
      <c r="B26" s="7">
        <v>348.5</v>
      </c>
      <c r="C26">
        <f t="shared" si="0"/>
        <v>3.2</v>
      </c>
      <c r="D26">
        <f t="shared" si="2"/>
        <v>64</v>
      </c>
    </row>
    <row r="27" spans="1:4" x14ac:dyDescent="0.3">
      <c r="A27" s="6">
        <v>3.3</v>
      </c>
      <c r="B27" s="7">
        <v>506.29999999999995</v>
      </c>
      <c r="C27">
        <f t="shared" si="0"/>
        <v>3.3</v>
      </c>
      <c r="D27">
        <f t="shared" si="2"/>
        <v>64</v>
      </c>
    </row>
    <row r="28" spans="1:4" x14ac:dyDescent="0.3">
      <c r="A28" s="6">
        <v>3.4</v>
      </c>
      <c r="B28" s="7">
        <v>195.20000000000002</v>
      </c>
      <c r="C28">
        <f t="shared" si="0"/>
        <v>3.4</v>
      </c>
      <c r="D28">
        <f t="shared" si="2"/>
        <v>64</v>
      </c>
    </row>
    <row r="29" spans="1:4" x14ac:dyDescent="0.3">
      <c r="A29" s="6">
        <v>3.5</v>
      </c>
      <c r="B29" s="7">
        <v>193.4</v>
      </c>
      <c r="C29">
        <f t="shared" si="0"/>
        <v>3.5</v>
      </c>
      <c r="D29">
        <f t="shared" si="2"/>
        <v>64</v>
      </c>
    </row>
    <row r="30" spans="1:4" x14ac:dyDescent="0.3">
      <c r="A30" s="6">
        <v>3.6</v>
      </c>
      <c r="B30" s="7">
        <v>645.54999999999995</v>
      </c>
      <c r="C30">
        <f t="shared" si="0"/>
        <v>3.6</v>
      </c>
      <c r="D30">
        <f t="shared" si="2"/>
        <v>64</v>
      </c>
    </row>
    <row r="31" spans="1:4" x14ac:dyDescent="0.3">
      <c r="A31" s="6">
        <v>3.7</v>
      </c>
      <c r="B31" s="7">
        <v>212.39999999999998</v>
      </c>
      <c r="C31">
        <f t="shared" si="0"/>
        <v>3.7</v>
      </c>
      <c r="D31">
        <f t="shared" si="2"/>
        <v>64</v>
      </c>
    </row>
    <row r="32" spans="1:4" x14ac:dyDescent="0.3">
      <c r="A32" s="6">
        <v>3.8</v>
      </c>
      <c r="B32" s="7">
        <v>79.7</v>
      </c>
      <c r="C32">
        <f t="shared" si="0"/>
        <v>3.8</v>
      </c>
      <c r="D32">
        <f t="shared" si="2"/>
        <v>64</v>
      </c>
    </row>
    <row r="33" spans="1:4" x14ac:dyDescent="0.3">
      <c r="A33" s="6">
        <v>3.9</v>
      </c>
      <c r="B33" s="7">
        <v>231.8</v>
      </c>
      <c r="C33">
        <f t="shared" si="0"/>
        <v>3.9</v>
      </c>
      <c r="D33">
        <f t="shared" si="2"/>
        <v>64</v>
      </c>
    </row>
    <row r="34" spans="1:4" x14ac:dyDescent="0.3">
      <c r="A34" s="6">
        <v>4</v>
      </c>
      <c r="B34" s="7">
        <v>683.5</v>
      </c>
      <c r="C34">
        <f t="shared" si="0"/>
        <v>4</v>
      </c>
      <c r="D34">
        <f t="shared" si="2"/>
        <v>64</v>
      </c>
    </row>
    <row r="35" spans="1:4" x14ac:dyDescent="0.3">
      <c r="A35" s="6">
        <v>4.0999999999999996</v>
      </c>
      <c r="B35" s="7">
        <v>499.1</v>
      </c>
      <c r="C35">
        <f t="shared" si="0"/>
        <v>4.0999999999999996</v>
      </c>
      <c r="D35">
        <f t="shared" si="2"/>
        <v>64</v>
      </c>
    </row>
    <row r="36" spans="1:4" x14ac:dyDescent="0.3">
      <c r="A36" s="6">
        <v>4.2</v>
      </c>
      <c r="B36" s="7">
        <v>131.80000000000001</v>
      </c>
      <c r="C36">
        <f t="shared" si="0"/>
        <v>4.2</v>
      </c>
      <c r="D36">
        <f t="shared" si="2"/>
        <v>64</v>
      </c>
    </row>
    <row r="37" spans="1:4" x14ac:dyDescent="0.3">
      <c r="A37" s="6">
        <v>4.3</v>
      </c>
      <c r="B37" s="7">
        <v>741.7</v>
      </c>
      <c r="C37">
        <f t="shared" si="0"/>
        <v>4.3</v>
      </c>
      <c r="D37">
        <f t="shared" si="2"/>
        <v>64</v>
      </c>
    </row>
    <row r="38" spans="1:4" x14ac:dyDescent="0.3">
      <c r="A38" s="6">
        <v>4.4000000000000004</v>
      </c>
      <c r="B38" s="7">
        <v>624.19999999999993</v>
      </c>
      <c r="C38">
        <f t="shared" si="0"/>
        <v>4.4000000000000004</v>
      </c>
      <c r="D38">
        <f t="shared" si="2"/>
        <v>64</v>
      </c>
    </row>
    <row r="39" spans="1:4" x14ac:dyDescent="0.3">
      <c r="A39" s="6">
        <v>4.5</v>
      </c>
      <c r="B39" s="7">
        <v>269.3</v>
      </c>
      <c r="C39">
        <f t="shared" si="0"/>
        <v>4.5</v>
      </c>
      <c r="D39">
        <f t="shared" si="2"/>
        <v>64</v>
      </c>
    </row>
    <row r="40" spans="1:4" x14ac:dyDescent="0.3">
      <c r="A40" s="6">
        <v>4.5999999999999996</v>
      </c>
      <c r="B40" s="7">
        <v>356.05000000000007</v>
      </c>
      <c r="C40">
        <f t="shared" si="0"/>
        <v>4.5999999999999996</v>
      </c>
      <c r="D40">
        <f t="shared" si="2"/>
        <v>64</v>
      </c>
    </row>
    <row r="41" spans="1:4" x14ac:dyDescent="0.3">
      <c r="A41" s="6">
        <v>4.7</v>
      </c>
      <c r="B41" s="7">
        <v>430.5</v>
      </c>
      <c r="C41">
        <f t="shared" si="0"/>
        <v>4.7</v>
      </c>
      <c r="D41">
        <f t="shared" si="2"/>
        <v>64</v>
      </c>
    </row>
    <row r="42" spans="1:4" x14ac:dyDescent="0.3">
      <c r="A42" s="6">
        <v>4.8</v>
      </c>
      <c r="B42" s="7">
        <v>259</v>
      </c>
      <c r="C42">
        <f t="shared" si="0"/>
        <v>4.8</v>
      </c>
      <c r="D42">
        <f t="shared" si="2"/>
        <v>64</v>
      </c>
    </row>
    <row r="43" spans="1:4" x14ac:dyDescent="0.3">
      <c r="A43" s="6">
        <v>4.9000000000000004</v>
      </c>
      <c r="B43" s="7">
        <v>210.60000000000002</v>
      </c>
      <c r="C43">
        <f t="shared" si="0"/>
        <v>4.9000000000000004</v>
      </c>
      <c r="D43">
        <f t="shared" si="2"/>
        <v>64</v>
      </c>
    </row>
    <row r="44" spans="1:4" x14ac:dyDescent="0.3">
      <c r="A44" s="6">
        <v>5</v>
      </c>
      <c r="B44" s="7">
        <v>317.3</v>
      </c>
      <c r="C44">
        <f t="shared" si="0"/>
        <v>5</v>
      </c>
      <c r="D44">
        <f t="shared" si="2"/>
        <v>64</v>
      </c>
    </row>
    <row r="45" spans="1:4" x14ac:dyDescent="0.3">
      <c r="A45" s="6">
        <v>5.2</v>
      </c>
      <c r="B45" s="7">
        <v>589.1</v>
      </c>
      <c r="C45">
        <f t="shared" si="0"/>
        <v>5.2</v>
      </c>
      <c r="D45">
        <f t="shared" si="2"/>
        <v>64</v>
      </c>
    </row>
    <row r="46" spans="1:4" x14ac:dyDescent="0.3">
      <c r="A46" s="6">
        <v>5.3</v>
      </c>
      <c r="B46" s="7">
        <v>224.3</v>
      </c>
      <c r="C46">
        <f t="shared" si="0"/>
        <v>5.3</v>
      </c>
      <c r="D46">
        <f t="shared" si="2"/>
        <v>64</v>
      </c>
    </row>
    <row r="47" spans="1:4" x14ac:dyDescent="0.3">
      <c r="A47" s="6">
        <v>5.5</v>
      </c>
      <c r="B47" s="7">
        <v>61.3</v>
      </c>
      <c r="C47">
        <f t="shared" si="0"/>
        <v>5.5</v>
      </c>
      <c r="D47">
        <f t="shared" si="2"/>
        <v>64</v>
      </c>
    </row>
    <row r="48" spans="1:4" x14ac:dyDescent="0.3">
      <c r="A48" s="6">
        <v>5.6</v>
      </c>
      <c r="B48" s="7">
        <v>173.2</v>
      </c>
      <c r="C48">
        <f t="shared" si="0"/>
        <v>5.6</v>
      </c>
      <c r="D48">
        <f t="shared" si="2"/>
        <v>64</v>
      </c>
    </row>
    <row r="49" spans="1:4" x14ac:dyDescent="0.3">
      <c r="A49" s="6">
        <v>5.7</v>
      </c>
      <c r="B49" s="7">
        <v>322.64999999999998</v>
      </c>
      <c r="C49">
        <f t="shared" si="0"/>
        <v>5.7</v>
      </c>
      <c r="D49">
        <f t="shared" si="2"/>
        <v>64</v>
      </c>
    </row>
    <row r="50" spans="1:4" x14ac:dyDescent="0.3">
      <c r="A50" s="6">
        <v>5.8</v>
      </c>
      <c r="B50" s="7">
        <v>175.3</v>
      </c>
      <c r="C50">
        <f t="shared" si="0"/>
        <v>5.8</v>
      </c>
      <c r="D50">
        <f t="shared" si="2"/>
        <v>64</v>
      </c>
    </row>
    <row r="51" spans="1:4" x14ac:dyDescent="0.3">
      <c r="A51" s="6">
        <v>6</v>
      </c>
      <c r="B51" s="7">
        <v>226.39999999999998</v>
      </c>
      <c r="C51">
        <f t="shared" si="0"/>
        <v>6</v>
      </c>
      <c r="D51">
        <f t="shared" si="2"/>
        <v>64</v>
      </c>
    </row>
    <row r="52" spans="1:4" x14ac:dyDescent="0.3">
      <c r="A52" s="6">
        <v>6.1</v>
      </c>
      <c r="B52" s="7">
        <v>289.29999999999995</v>
      </c>
      <c r="C52">
        <f t="shared" si="0"/>
        <v>6.1</v>
      </c>
      <c r="D52">
        <f t="shared" si="2"/>
        <v>64</v>
      </c>
    </row>
    <row r="53" spans="1:4" x14ac:dyDescent="0.3">
      <c r="A53" s="6">
        <v>6.2</v>
      </c>
      <c r="B53" s="7">
        <v>66.7</v>
      </c>
      <c r="C53">
        <f t="shared" si="0"/>
        <v>6.2</v>
      </c>
      <c r="D53">
        <f t="shared" si="2"/>
        <v>64</v>
      </c>
    </row>
    <row r="54" spans="1:4" x14ac:dyDescent="0.3">
      <c r="A54" s="6">
        <v>6.4</v>
      </c>
      <c r="B54" s="7">
        <v>243.79999999999998</v>
      </c>
      <c r="C54">
        <f t="shared" si="0"/>
        <v>6.4</v>
      </c>
      <c r="D54">
        <f t="shared" si="2"/>
        <v>64</v>
      </c>
    </row>
    <row r="55" spans="1:4" x14ac:dyDescent="0.3">
      <c r="A55" s="6">
        <v>6.5</v>
      </c>
      <c r="B55" s="7">
        <v>145.30000000000001</v>
      </c>
      <c r="C55">
        <f t="shared" si="0"/>
        <v>6.5</v>
      </c>
      <c r="D55">
        <f t="shared" si="2"/>
        <v>64</v>
      </c>
    </row>
    <row r="56" spans="1:4" x14ac:dyDescent="0.3">
      <c r="A56" s="6">
        <v>6.7</v>
      </c>
      <c r="B56" s="7">
        <v>88</v>
      </c>
      <c r="C56">
        <f t="shared" si="0"/>
        <v>6.7</v>
      </c>
      <c r="D56">
        <f t="shared" si="2"/>
        <v>64</v>
      </c>
    </row>
    <row r="57" spans="1:4" x14ac:dyDescent="0.3">
      <c r="A57" s="6">
        <v>6.9</v>
      </c>
      <c r="B57" s="7">
        <v>298</v>
      </c>
      <c r="C57">
        <f t="shared" si="0"/>
        <v>6.9</v>
      </c>
      <c r="D57">
        <f t="shared" si="2"/>
        <v>64</v>
      </c>
    </row>
    <row r="58" spans="1:4" x14ac:dyDescent="0.3">
      <c r="A58" s="6">
        <v>7</v>
      </c>
      <c r="B58" s="7">
        <v>69</v>
      </c>
      <c r="C58">
        <f t="shared" si="0"/>
        <v>7</v>
      </c>
      <c r="D58">
        <f t="shared" si="2"/>
        <v>64</v>
      </c>
    </row>
    <row r="59" spans="1:4" x14ac:dyDescent="0.3">
      <c r="A59" s="6">
        <v>7.1</v>
      </c>
      <c r="B59" s="7">
        <v>72.5</v>
      </c>
      <c r="C59">
        <f t="shared" si="0"/>
        <v>7.1</v>
      </c>
      <c r="D59">
        <f t="shared" si="2"/>
        <v>64</v>
      </c>
    </row>
    <row r="60" spans="1:4" x14ac:dyDescent="0.3">
      <c r="A60" s="6">
        <v>7.5</v>
      </c>
      <c r="B60" s="7">
        <v>92.8</v>
      </c>
      <c r="C60">
        <f t="shared" si="0"/>
        <v>7.5</v>
      </c>
      <c r="D60">
        <f t="shared" si="2"/>
        <v>64</v>
      </c>
    </row>
    <row r="61" spans="1:4" x14ac:dyDescent="0.3">
      <c r="A61" s="6">
        <v>7.6</v>
      </c>
      <c r="B61" s="7">
        <v>60</v>
      </c>
      <c r="C61">
        <f t="shared" si="0"/>
        <v>7.6</v>
      </c>
      <c r="D61">
        <f t="shared" si="2"/>
        <v>64</v>
      </c>
    </row>
    <row r="62" spans="1:4" x14ac:dyDescent="0.3">
      <c r="A62" s="6">
        <v>7.8</v>
      </c>
      <c r="B62" s="7">
        <v>66.099999999999994</v>
      </c>
      <c r="C62">
        <f t="shared" si="0"/>
        <v>7.8</v>
      </c>
      <c r="D62">
        <f t="shared" si="2"/>
        <v>64</v>
      </c>
    </row>
    <row r="63" spans="1:4" x14ac:dyDescent="0.3">
      <c r="A63" s="6">
        <v>7.9</v>
      </c>
      <c r="B63" s="7">
        <v>72.3</v>
      </c>
      <c r="C63">
        <f t="shared" si="0"/>
        <v>7.9</v>
      </c>
      <c r="D63">
        <f t="shared" si="2"/>
        <v>64</v>
      </c>
    </row>
    <row r="64" spans="1:4" x14ac:dyDescent="0.3">
      <c r="A64" s="6" t="s">
        <v>10</v>
      </c>
      <c r="B64" s="7">
        <v>14182.699999999995</v>
      </c>
      <c r="C64" t="str">
        <f t="shared" si="0"/>
        <v>Grand Total</v>
      </c>
      <c r="D64">
        <f t="shared" si="2"/>
        <v>64</v>
      </c>
    </row>
  </sheetData>
  <mergeCells count="3">
    <mergeCell ref="F2:G2"/>
    <mergeCell ref="I2:J2"/>
    <mergeCell ref="L2:M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6DE0F-372D-4A34-9817-D58C695479B2}">
  <dimension ref="A1"/>
  <sheetViews>
    <sheetView showGridLines="0" tabSelected="1" zoomScale="70" zoomScaleNormal="70" workbookViewId="0">
      <selection activeCell="T15" sqref="T15"/>
    </sheetView>
  </sheetViews>
  <sheetFormatPr defaultRowHeight="15.05"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35B8D-A95C-4C5C-A9DD-5E734B1D4023}">
  <dimension ref="A1:H206"/>
  <sheetViews>
    <sheetView workbookViewId="0">
      <selection activeCell="E1" activeCellId="1" sqref="D1:D1048576 E1:E1048576"/>
    </sheetView>
  </sheetViews>
  <sheetFormatPr defaultRowHeight="15.05" x14ac:dyDescent="0.3"/>
  <cols>
    <col min="1" max="1" width="14.21875" style="1" bestFit="1" customWidth="1"/>
    <col min="2" max="2" width="13.21875" style="1" customWidth="1"/>
    <col min="3" max="3" width="13.33203125" style="1" customWidth="1"/>
    <col min="4" max="4" width="13.21875" style="1" customWidth="1"/>
    <col min="5" max="5" width="12.6640625" style="1" customWidth="1"/>
    <col min="6" max="6" width="22.21875" style="1" bestFit="1" customWidth="1"/>
    <col min="7" max="7" width="14.88671875" bestFit="1" customWidth="1"/>
    <col min="8" max="8" width="10.6640625" customWidth="1"/>
  </cols>
  <sheetData>
    <row r="1" spans="1:8" ht="35.1" customHeight="1" x14ac:dyDescent="0.3">
      <c r="A1" s="2" t="s">
        <v>0</v>
      </c>
      <c r="B1" s="2" t="s">
        <v>1</v>
      </c>
      <c r="C1" s="2" t="s">
        <v>2</v>
      </c>
      <c r="D1" s="2" t="s">
        <v>3</v>
      </c>
      <c r="E1" s="2" t="s">
        <v>4</v>
      </c>
      <c r="F1" s="2" t="s">
        <v>5</v>
      </c>
      <c r="G1" s="4" t="s">
        <v>6</v>
      </c>
      <c r="H1" s="2" t="s">
        <v>7</v>
      </c>
    </row>
    <row r="2" spans="1:8" x14ac:dyDescent="0.3">
      <c r="A2" s="3">
        <v>1</v>
      </c>
      <c r="B2" s="3">
        <v>16</v>
      </c>
      <c r="C2" s="3">
        <v>2.5</v>
      </c>
      <c r="D2" s="3">
        <v>2.7</v>
      </c>
      <c r="E2" s="3">
        <v>75</v>
      </c>
      <c r="F2" s="3">
        <v>1.6</v>
      </c>
      <c r="G2" s="2" t="str">
        <f>IF(D2&gt;4,"High","Low")</f>
        <v>Low</v>
      </c>
      <c r="H2" s="3" t="str">
        <f>IF(B2&lt;18,"Teen","Adult")</f>
        <v>Teen</v>
      </c>
    </row>
    <row r="3" spans="1:8" x14ac:dyDescent="0.3">
      <c r="A3" s="3">
        <v>2</v>
      </c>
      <c r="B3" s="3">
        <v>17</v>
      </c>
      <c r="C3" s="3">
        <v>2.7</v>
      </c>
      <c r="D3" s="3">
        <v>4</v>
      </c>
      <c r="E3" s="3">
        <v>68.099999999999994</v>
      </c>
      <c r="F3" s="3">
        <v>0.7</v>
      </c>
      <c r="G3" s="2" t="str">
        <f t="shared" ref="G3:G66" si="0">IF(D3&gt;4,"High","Low")</f>
        <v>Low</v>
      </c>
      <c r="H3" s="3" t="str">
        <f t="shared" ref="H3:H66" si="1">IF(B3&lt;18,"Teen","Adult")</f>
        <v>Teen</v>
      </c>
    </row>
    <row r="4" spans="1:8" x14ac:dyDescent="0.3">
      <c r="A4" s="3">
        <v>3</v>
      </c>
      <c r="B4" s="3">
        <v>15</v>
      </c>
      <c r="C4" s="3">
        <v>3</v>
      </c>
      <c r="D4" s="3">
        <v>4.3</v>
      </c>
      <c r="E4" s="3">
        <v>67.900000000000006</v>
      </c>
      <c r="F4" s="3">
        <v>1.5</v>
      </c>
      <c r="G4" s="2" t="str">
        <f t="shared" si="0"/>
        <v>High</v>
      </c>
      <c r="H4" s="3" t="str">
        <f t="shared" si="1"/>
        <v>Teen</v>
      </c>
    </row>
    <row r="5" spans="1:8" x14ac:dyDescent="0.3">
      <c r="A5" s="3">
        <v>4</v>
      </c>
      <c r="B5" s="3">
        <v>17</v>
      </c>
      <c r="C5" s="3">
        <v>3</v>
      </c>
      <c r="D5" s="3">
        <v>2.8</v>
      </c>
      <c r="E5" s="3">
        <v>47.2</v>
      </c>
      <c r="F5" s="3">
        <v>1.8</v>
      </c>
      <c r="G5" s="2" t="str">
        <f t="shared" si="0"/>
        <v>Low</v>
      </c>
      <c r="H5" s="3" t="str">
        <f t="shared" si="1"/>
        <v>Teen</v>
      </c>
    </row>
    <row r="6" spans="1:8" x14ac:dyDescent="0.3">
      <c r="A6" s="3">
        <v>5</v>
      </c>
      <c r="B6" s="3">
        <v>17</v>
      </c>
      <c r="C6" s="3">
        <v>2.5</v>
      </c>
      <c r="D6" s="3">
        <v>1.8</v>
      </c>
      <c r="E6" s="3">
        <v>78</v>
      </c>
      <c r="F6" s="3">
        <v>1.4</v>
      </c>
      <c r="G6" s="2" t="str">
        <f t="shared" si="0"/>
        <v>Low</v>
      </c>
      <c r="H6" s="3" t="str">
        <f t="shared" si="1"/>
        <v>Teen</v>
      </c>
    </row>
    <row r="7" spans="1:8" x14ac:dyDescent="0.3">
      <c r="A7" s="3">
        <v>6</v>
      </c>
      <c r="B7" s="3">
        <v>14</v>
      </c>
      <c r="C7" s="3">
        <v>1.3</v>
      </c>
      <c r="D7" s="3">
        <v>4.4000000000000004</v>
      </c>
      <c r="E7" s="3">
        <v>71.5</v>
      </c>
      <c r="F7" s="3">
        <v>0.4</v>
      </c>
      <c r="G7" s="2" t="str">
        <f t="shared" si="0"/>
        <v>High</v>
      </c>
      <c r="H7" s="3" t="str">
        <f t="shared" si="1"/>
        <v>Teen</v>
      </c>
    </row>
    <row r="8" spans="1:8" x14ac:dyDescent="0.3">
      <c r="A8" s="3">
        <v>7</v>
      </c>
      <c r="B8" s="3">
        <v>15</v>
      </c>
      <c r="C8" s="3">
        <v>3.3</v>
      </c>
      <c r="D8" s="3">
        <v>6.7</v>
      </c>
      <c r="E8" s="3">
        <v>88</v>
      </c>
      <c r="F8" s="3">
        <v>2.9</v>
      </c>
      <c r="G8" s="2" t="str">
        <f t="shared" si="0"/>
        <v>High</v>
      </c>
      <c r="H8" s="3" t="str">
        <f t="shared" si="1"/>
        <v>Teen</v>
      </c>
    </row>
    <row r="9" spans="1:8" x14ac:dyDescent="0.3">
      <c r="A9" s="3">
        <v>8</v>
      </c>
      <c r="B9" s="3">
        <v>15</v>
      </c>
      <c r="C9" s="3">
        <v>2.9</v>
      </c>
      <c r="D9" s="3">
        <v>4.5999999999999996</v>
      </c>
      <c r="E9" s="3">
        <v>69.3</v>
      </c>
      <c r="F9" s="3">
        <v>1.6</v>
      </c>
      <c r="G9" s="2" t="str">
        <f t="shared" si="0"/>
        <v>High</v>
      </c>
      <c r="H9" s="3" t="str">
        <f t="shared" si="1"/>
        <v>Teen</v>
      </c>
    </row>
    <row r="10" spans="1:8" x14ac:dyDescent="0.3">
      <c r="A10" s="3">
        <v>9</v>
      </c>
      <c r="B10" s="3">
        <v>15</v>
      </c>
      <c r="C10" s="3">
        <v>1.4</v>
      </c>
      <c r="D10" s="3">
        <v>4.0999999999999996</v>
      </c>
      <c r="E10" s="3">
        <v>75.7</v>
      </c>
      <c r="F10" s="3">
        <v>0.9</v>
      </c>
      <c r="G10" s="2" t="str">
        <f t="shared" si="0"/>
        <v>High</v>
      </c>
      <c r="H10" s="3" t="str">
        <f t="shared" si="1"/>
        <v>Teen</v>
      </c>
    </row>
    <row r="11" spans="1:8" x14ac:dyDescent="0.3">
      <c r="A11" s="3">
        <v>10</v>
      </c>
      <c r="B11" s="3">
        <v>17</v>
      </c>
      <c r="C11" s="3">
        <v>1.8</v>
      </c>
      <c r="D11" s="3">
        <v>4.0999999999999996</v>
      </c>
      <c r="E11" s="3">
        <v>78.3</v>
      </c>
      <c r="F11" s="3">
        <v>2.8</v>
      </c>
      <c r="G11" s="2" t="str">
        <f t="shared" si="0"/>
        <v>High</v>
      </c>
      <c r="H11" s="3" t="str">
        <f t="shared" si="1"/>
        <v>Teen</v>
      </c>
    </row>
    <row r="12" spans="1:8" x14ac:dyDescent="0.3">
      <c r="A12" s="3">
        <v>11</v>
      </c>
      <c r="B12" s="3">
        <v>16</v>
      </c>
      <c r="C12" s="3">
        <v>3.4</v>
      </c>
      <c r="D12" s="3">
        <v>3.6</v>
      </c>
      <c r="E12" s="3">
        <v>52.5</v>
      </c>
      <c r="F12" s="3">
        <v>2</v>
      </c>
      <c r="G12" s="2" t="str">
        <f t="shared" si="0"/>
        <v>Low</v>
      </c>
      <c r="H12" s="3" t="str">
        <f t="shared" si="1"/>
        <v>Teen</v>
      </c>
    </row>
    <row r="13" spans="1:8" x14ac:dyDescent="0.3">
      <c r="A13" s="3">
        <v>12</v>
      </c>
      <c r="B13" s="3">
        <v>15</v>
      </c>
      <c r="C13" s="3">
        <v>3.1</v>
      </c>
      <c r="D13" s="3">
        <v>5.8</v>
      </c>
      <c r="E13" s="3">
        <v>96.2</v>
      </c>
      <c r="F13" s="3">
        <v>0.5</v>
      </c>
      <c r="G13" s="2" t="str">
        <f t="shared" si="0"/>
        <v>High</v>
      </c>
      <c r="H13" s="3" t="str">
        <f t="shared" si="1"/>
        <v>Teen</v>
      </c>
    </row>
    <row r="14" spans="1:8" x14ac:dyDescent="0.3">
      <c r="A14" s="3">
        <v>13</v>
      </c>
      <c r="B14" s="3">
        <v>18</v>
      </c>
      <c r="C14" s="3">
        <v>1.8</v>
      </c>
      <c r="D14" s="3">
        <v>4</v>
      </c>
      <c r="E14" s="3">
        <v>65.7</v>
      </c>
      <c r="F14" s="3">
        <v>0.7</v>
      </c>
      <c r="G14" s="2" t="str">
        <f t="shared" si="0"/>
        <v>Low</v>
      </c>
      <c r="H14" s="3" t="str">
        <f t="shared" si="1"/>
        <v>Adult</v>
      </c>
    </row>
    <row r="15" spans="1:8" x14ac:dyDescent="0.3">
      <c r="A15" s="3">
        <v>14</v>
      </c>
      <c r="B15" s="3">
        <v>14</v>
      </c>
      <c r="C15" s="3">
        <v>2.2000000000000002</v>
      </c>
      <c r="D15" s="3">
        <v>2</v>
      </c>
      <c r="E15" s="3">
        <v>74.900000000000006</v>
      </c>
      <c r="F15" s="3">
        <v>1.3</v>
      </c>
      <c r="G15" s="2" t="str">
        <f t="shared" si="0"/>
        <v>Low</v>
      </c>
      <c r="H15" s="3" t="str">
        <f t="shared" si="1"/>
        <v>Teen</v>
      </c>
    </row>
    <row r="16" spans="1:8" x14ac:dyDescent="0.3">
      <c r="A16" s="3">
        <v>15</v>
      </c>
      <c r="B16" s="3">
        <v>16</v>
      </c>
      <c r="C16" s="3">
        <v>2.4</v>
      </c>
      <c r="D16" s="3">
        <v>1.6</v>
      </c>
      <c r="E16" s="3">
        <v>76.400000000000006</v>
      </c>
      <c r="F16" s="3">
        <v>1.7</v>
      </c>
      <c r="G16" s="2" t="str">
        <f t="shared" si="0"/>
        <v>Low</v>
      </c>
      <c r="H16" s="3" t="str">
        <f t="shared" si="1"/>
        <v>Teen</v>
      </c>
    </row>
    <row r="17" spans="1:8" x14ac:dyDescent="0.3">
      <c r="A17" s="3">
        <v>16</v>
      </c>
      <c r="B17" s="3">
        <v>14</v>
      </c>
      <c r="C17" s="3">
        <v>3.1</v>
      </c>
      <c r="D17" s="3">
        <v>4.0999999999999996</v>
      </c>
      <c r="E17" s="3">
        <v>61.9</v>
      </c>
      <c r="F17" s="3">
        <v>2</v>
      </c>
      <c r="G17" s="2" t="str">
        <f t="shared" si="0"/>
        <v>High</v>
      </c>
      <c r="H17" s="3" t="str">
        <f t="shared" si="1"/>
        <v>Teen</v>
      </c>
    </row>
    <row r="18" spans="1:8" x14ac:dyDescent="0.3">
      <c r="A18" s="3">
        <v>17</v>
      </c>
      <c r="B18" s="3">
        <v>16</v>
      </c>
      <c r="C18" s="3">
        <v>3.7</v>
      </c>
      <c r="D18" s="3">
        <v>5.6</v>
      </c>
      <c r="E18" s="3">
        <v>88.5</v>
      </c>
      <c r="F18" s="3">
        <v>2.2999999999999998</v>
      </c>
      <c r="G18" s="2" t="str">
        <f t="shared" si="0"/>
        <v>High</v>
      </c>
      <c r="H18" s="3" t="str">
        <f t="shared" si="1"/>
        <v>Teen</v>
      </c>
    </row>
    <row r="19" spans="1:8" x14ac:dyDescent="0.3">
      <c r="A19" s="3">
        <v>18</v>
      </c>
      <c r="B19" s="3">
        <v>18</v>
      </c>
      <c r="C19" s="3">
        <v>2.6</v>
      </c>
      <c r="D19" s="3">
        <v>4.4000000000000004</v>
      </c>
      <c r="E19" s="3">
        <v>72.7</v>
      </c>
      <c r="F19" s="3">
        <v>1.9</v>
      </c>
      <c r="G19" s="2" t="str">
        <f t="shared" si="0"/>
        <v>High</v>
      </c>
      <c r="H19" s="3" t="str">
        <f t="shared" si="1"/>
        <v>Adult</v>
      </c>
    </row>
    <row r="20" spans="1:8" x14ac:dyDescent="0.3">
      <c r="A20" s="3">
        <v>19</v>
      </c>
      <c r="B20" s="3">
        <v>13</v>
      </c>
      <c r="C20" s="3">
        <v>2.5</v>
      </c>
      <c r="D20" s="3">
        <v>3.5</v>
      </c>
      <c r="E20" s="3">
        <v>67.900000000000006</v>
      </c>
      <c r="F20" s="3">
        <v>2.6</v>
      </c>
      <c r="G20" s="2" t="str">
        <f t="shared" si="0"/>
        <v>Low</v>
      </c>
      <c r="H20" s="3" t="str">
        <f t="shared" si="1"/>
        <v>Teen</v>
      </c>
    </row>
    <row r="21" spans="1:8" x14ac:dyDescent="0.3">
      <c r="A21" s="3">
        <v>20</v>
      </c>
      <c r="B21" s="3">
        <v>16</v>
      </c>
      <c r="C21" s="3">
        <v>3.4</v>
      </c>
      <c r="D21" s="3">
        <v>4.7</v>
      </c>
      <c r="E21" s="3">
        <v>71.400000000000006</v>
      </c>
      <c r="F21" s="3">
        <v>1.6</v>
      </c>
      <c r="G21" s="2" t="str">
        <f t="shared" si="0"/>
        <v>High</v>
      </c>
      <c r="H21" s="3" t="str">
        <f t="shared" si="1"/>
        <v>Teen</v>
      </c>
    </row>
    <row r="22" spans="1:8" x14ac:dyDescent="0.3">
      <c r="A22" s="3">
        <v>21</v>
      </c>
      <c r="B22" s="3">
        <v>14</v>
      </c>
      <c r="C22" s="3">
        <v>2.7</v>
      </c>
      <c r="D22" s="3">
        <v>4.3</v>
      </c>
      <c r="E22" s="3">
        <v>77.599999999999994</v>
      </c>
      <c r="F22" s="3">
        <v>0.9</v>
      </c>
      <c r="G22" s="2" t="str">
        <f t="shared" si="0"/>
        <v>High</v>
      </c>
      <c r="H22" s="3" t="str">
        <f t="shared" si="1"/>
        <v>Teen</v>
      </c>
    </row>
    <row r="23" spans="1:8" x14ac:dyDescent="0.3">
      <c r="A23" s="3">
        <v>22</v>
      </c>
      <c r="B23" s="3">
        <v>18</v>
      </c>
      <c r="C23" s="3">
        <v>1.1000000000000001</v>
      </c>
      <c r="D23" s="3">
        <v>5.2</v>
      </c>
      <c r="E23" s="3">
        <v>70.099999999999994</v>
      </c>
      <c r="F23" s="3">
        <v>1.5</v>
      </c>
      <c r="G23" s="2" t="str">
        <f t="shared" si="0"/>
        <v>High</v>
      </c>
      <c r="H23" s="3" t="str">
        <f t="shared" si="1"/>
        <v>Adult</v>
      </c>
    </row>
    <row r="24" spans="1:8" x14ac:dyDescent="0.3">
      <c r="A24" s="3">
        <v>23</v>
      </c>
      <c r="B24" s="3">
        <v>16</v>
      </c>
      <c r="C24" s="3">
        <v>1.5</v>
      </c>
      <c r="D24" s="3">
        <v>6</v>
      </c>
      <c r="E24" s="3">
        <v>78.8</v>
      </c>
      <c r="F24" s="3">
        <v>1.4</v>
      </c>
      <c r="G24" s="2" t="str">
        <f t="shared" si="0"/>
        <v>High</v>
      </c>
      <c r="H24" s="3" t="str">
        <f t="shared" si="1"/>
        <v>Teen</v>
      </c>
    </row>
    <row r="25" spans="1:8" x14ac:dyDescent="0.3">
      <c r="A25" s="3">
        <v>24</v>
      </c>
      <c r="B25" s="3">
        <v>13</v>
      </c>
      <c r="C25" s="3">
        <v>3.2</v>
      </c>
      <c r="D25" s="3">
        <v>2.6</v>
      </c>
      <c r="E25" s="3">
        <v>53.2</v>
      </c>
      <c r="F25" s="3">
        <v>0</v>
      </c>
      <c r="G25" s="2" t="str">
        <f t="shared" si="0"/>
        <v>Low</v>
      </c>
      <c r="H25" s="3" t="str">
        <f t="shared" si="1"/>
        <v>Teen</v>
      </c>
    </row>
    <row r="26" spans="1:8" x14ac:dyDescent="0.3">
      <c r="A26" s="3">
        <v>25</v>
      </c>
      <c r="B26" s="3">
        <v>13</v>
      </c>
      <c r="C26" s="3">
        <v>0.8</v>
      </c>
      <c r="D26" s="3">
        <v>0.5</v>
      </c>
      <c r="E26" s="3">
        <v>62.5</v>
      </c>
      <c r="F26" s="3">
        <v>1.1000000000000001</v>
      </c>
      <c r="G26" s="2" t="str">
        <f t="shared" si="0"/>
        <v>Low</v>
      </c>
      <c r="H26" s="3" t="str">
        <f t="shared" si="1"/>
        <v>Teen</v>
      </c>
    </row>
    <row r="27" spans="1:8" x14ac:dyDescent="0.3">
      <c r="A27" s="3">
        <v>26</v>
      </c>
      <c r="B27" s="3">
        <v>15</v>
      </c>
      <c r="C27" s="3">
        <v>2.6</v>
      </c>
      <c r="D27" s="3">
        <v>3.5</v>
      </c>
      <c r="E27" s="3">
        <v>48.6</v>
      </c>
      <c r="F27" s="3">
        <v>1.8</v>
      </c>
      <c r="G27" s="2" t="str">
        <f t="shared" si="0"/>
        <v>Low</v>
      </c>
      <c r="H27" s="3" t="str">
        <f t="shared" si="1"/>
        <v>Teen</v>
      </c>
    </row>
    <row r="28" spans="1:8" x14ac:dyDescent="0.3">
      <c r="A28" s="3">
        <v>27</v>
      </c>
      <c r="B28" s="3">
        <v>15</v>
      </c>
      <c r="C28" s="3">
        <v>3.5</v>
      </c>
      <c r="D28" s="3">
        <v>2.5</v>
      </c>
      <c r="E28" s="3">
        <v>90</v>
      </c>
      <c r="F28" s="3">
        <v>1.2</v>
      </c>
      <c r="G28" s="2" t="str">
        <f t="shared" si="0"/>
        <v>Low</v>
      </c>
      <c r="H28" s="3" t="str">
        <f t="shared" si="1"/>
        <v>Teen</v>
      </c>
    </row>
    <row r="29" spans="1:8" x14ac:dyDescent="0.3">
      <c r="A29" s="3">
        <v>28</v>
      </c>
      <c r="B29" s="3">
        <v>14</v>
      </c>
      <c r="C29" s="3">
        <v>2.7</v>
      </c>
      <c r="D29" s="3">
        <v>5.2</v>
      </c>
      <c r="E29" s="3">
        <v>89.8</v>
      </c>
      <c r="F29" s="3">
        <v>1</v>
      </c>
      <c r="G29" s="2" t="str">
        <f t="shared" si="0"/>
        <v>High</v>
      </c>
      <c r="H29" s="3" t="str">
        <f t="shared" si="1"/>
        <v>Teen</v>
      </c>
    </row>
    <row r="30" spans="1:8" x14ac:dyDescent="0.3">
      <c r="A30" s="3">
        <v>29</v>
      </c>
      <c r="B30" s="3">
        <v>16</v>
      </c>
      <c r="C30" s="3">
        <v>1.9</v>
      </c>
      <c r="D30" s="3">
        <v>2.9</v>
      </c>
      <c r="E30" s="3">
        <v>76.3</v>
      </c>
      <c r="F30" s="3">
        <v>2.2000000000000002</v>
      </c>
      <c r="G30" s="2" t="str">
        <f t="shared" si="0"/>
        <v>Low</v>
      </c>
      <c r="H30" s="3" t="str">
        <f t="shared" si="1"/>
        <v>Teen</v>
      </c>
    </row>
    <row r="31" spans="1:8" x14ac:dyDescent="0.3">
      <c r="A31" s="3">
        <v>30</v>
      </c>
      <c r="B31" s="3">
        <v>16</v>
      </c>
      <c r="C31" s="3">
        <v>1.7</v>
      </c>
      <c r="D31" s="3">
        <v>1.2</v>
      </c>
      <c r="E31" s="3">
        <v>59.9</v>
      </c>
      <c r="F31" s="3">
        <v>0.8</v>
      </c>
      <c r="G31" s="2" t="str">
        <f t="shared" si="0"/>
        <v>Low</v>
      </c>
      <c r="H31" s="3" t="str">
        <f t="shared" si="1"/>
        <v>Teen</v>
      </c>
    </row>
    <row r="32" spans="1:8" x14ac:dyDescent="0.3">
      <c r="A32" s="3">
        <v>31</v>
      </c>
      <c r="B32" s="3">
        <v>15</v>
      </c>
      <c r="C32" s="3">
        <v>3.3</v>
      </c>
      <c r="D32" s="3">
        <v>3.1</v>
      </c>
      <c r="E32" s="3">
        <v>93.9</v>
      </c>
      <c r="F32" s="3">
        <v>2.1</v>
      </c>
      <c r="G32" s="2" t="str">
        <f t="shared" si="0"/>
        <v>Low</v>
      </c>
      <c r="H32" s="3" t="str">
        <f t="shared" si="1"/>
        <v>Teen</v>
      </c>
    </row>
    <row r="33" spans="1:8" x14ac:dyDescent="0.3">
      <c r="A33" s="3">
        <v>32</v>
      </c>
      <c r="B33" s="3">
        <v>16</v>
      </c>
      <c r="C33" s="3">
        <v>3</v>
      </c>
      <c r="D33" s="3">
        <v>1.8</v>
      </c>
      <c r="E33" s="3">
        <v>64</v>
      </c>
      <c r="F33" s="3">
        <v>0.4</v>
      </c>
      <c r="G33" s="2" t="str">
        <f t="shared" si="0"/>
        <v>Low</v>
      </c>
      <c r="H33" s="3" t="str">
        <f t="shared" si="1"/>
        <v>Teen</v>
      </c>
    </row>
    <row r="34" spans="1:8" x14ac:dyDescent="0.3">
      <c r="A34" s="3">
        <v>33</v>
      </c>
      <c r="B34" s="3">
        <v>16</v>
      </c>
      <c r="C34" s="3">
        <v>2.2000000000000002</v>
      </c>
      <c r="D34" s="3">
        <v>6.4</v>
      </c>
      <c r="E34" s="3">
        <v>67.900000000000006</v>
      </c>
      <c r="F34" s="3">
        <v>3.7</v>
      </c>
      <c r="G34" s="2" t="str">
        <f t="shared" si="0"/>
        <v>High</v>
      </c>
      <c r="H34" s="3" t="str">
        <f t="shared" si="1"/>
        <v>Teen</v>
      </c>
    </row>
    <row r="35" spans="1:8" x14ac:dyDescent="0.3">
      <c r="A35" s="3">
        <v>34</v>
      </c>
      <c r="B35" s="3">
        <v>13</v>
      </c>
      <c r="C35" s="3">
        <v>3.6</v>
      </c>
      <c r="D35" s="3">
        <v>4.7</v>
      </c>
      <c r="E35" s="3">
        <v>71.599999999999994</v>
      </c>
      <c r="F35" s="3">
        <v>1.3</v>
      </c>
      <c r="G35" s="2" t="str">
        <f t="shared" si="0"/>
        <v>High</v>
      </c>
      <c r="H35" s="3" t="str">
        <f t="shared" si="1"/>
        <v>Teen</v>
      </c>
    </row>
    <row r="36" spans="1:8" x14ac:dyDescent="0.3">
      <c r="A36" s="3">
        <v>35</v>
      </c>
      <c r="B36" s="3">
        <v>15</v>
      </c>
      <c r="C36" s="3">
        <v>3.4</v>
      </c>
      <c r="D36" s="3">
        <v>5</v>
      </c>
      <c r="E36" s="3">
        <v>74.5</v>
      </c>
      <c r="F36" s="3">
        <v>1.2</v>
      </c>
      <c r="G36" s="2" t="str">
        <f t="shared" si="0"/>
        <v>High</v>
      </c>
      <c r="H36" s="3" t="str">
        <f t="shared" si="1"/>
        <v>Teen</v>
      </c>
    </row>
    <row r="37" spans="1:8" x14ac:dyDescent="0.3">
      <c r="A37" s="3">
        <v>36</v>
      </c>
      <c r="B37" s="3">
        <v>18</v>
      </c>
      <c r="C37" s="3">
        <v>4.3</v>
      </c>
      <c r="D37" s="3">
        <v>4.8</v>
      </c>
      <c r="E37" s="3">
        <v>76.400000000000006</v>
      </c>
      <c r="F37" s="3">
        <v>2.4</v>
      </c>
      <c r="G37" s="2" t="str">
        <f t="shared" si="0"/>
        <v>High</v>
      </c>
      <c r="H37" s="3" t="str">
        <f t="shared" si="1"/>
        <v>Adult</v>
      </c>
    </row>
    <row r="38" spans="1:8" x14ac:dyDescent="0.3">
      <c r="A38" s="3">
        <v>37</v>
      </c>
      <c r="B38" s="3">
        <v>15</v>
      </c>
      <c r="C38" s="3">
        <v>3.1</v>
      </c>
      <c r="D38" s="3">
        <v>5.3</v>
      </c>
      <c r="E38" s="3">
        <v>76.8</v>
      </c>
      <c r="F38" s="3">
        <v>1.2</v>
      </c>
      <c r="G38" s="2" t="str">
        <f t="shared" si="0"/>
        <v>High</v>
      </c>
      <c r="H38" s="3" t="str">
        <f t="shared" si="1"/>
        <v>Teen</v>
      </c>
    </row>
    <row r="39" spans="1:8" x14ac:dyDescent="0.3">
      <c r="A39" s="3">
        <v>38</v>
      </c>
      <c r="B39" s="3">
        <v>17</v>
      </c>
      <c r="C39" s="3">
        <v>2.2999999999999998</v>
      </c>
      <c r="D39" s="3">
        <v>5.7</v>
      </c>
      <c r="E39" s="3">
        <v>70.849999999999994</v>
      </c>
      <c r="F39" s="3">
        <v>2.7</v>
      </c>
      <c r="G39" s="2" t="str">
        <f t="shared" si="0"/>
        <v>High</v>
      </c>
      <c r="H39" s="3" t="str">
        <f t="shared" si="1"/>
        <v>Teen</v>
      </c>
    </row>
    <row r="40" spans="1:8" x14ac:dyDescent="0.3">
      <c r="A40" s="3">
        <v>39</v>
      </c>
      <c r="B40" s="3">
        <v>13</v>
      </c>
      <c r="C40" s="3">
        <v>2.4</v>
      </c>
      <c r="D40" s="3">
        <v>3.2</v>
      </c>
      <c r="E40" s="3">
        <v>76.7</v>
      </c>
      <c r="F40" s="3">
        <v>1.8</v>
      </c>
      <c r="G40" s="2" t="str">
        <f t="shared" si="0"/>
        <v>Low</v>
      </c>
      <c r="H40" s="3" t="str">
        <f t="shared" si="1"/>
        <v>Teen</v>
      </c>
    </row>
    <row r="41" spans="1:8" x14ac:dyDescent="0.3">
      <c r="A41" s="3">
        <v>40</v>
      </c>
      <c r="B41" s="3">
        <v>14</v>
      </c>
      <c r="C41" s="3">
        <v>0.6</v>
      </c>
      <c r="D41" s="3">
        <v>1.9</v>
      </c>
      <c r="E41" s="3">
        <v>70.849999999999994</v>
      </c>
      <c r="F41" s="3">
        <v>1.4</v>
      </c>
      <c r="G41" s="2" t="str">
        <f t="shared" si="0"/>
        <v>Low</v>
      </c>
      <c r="H41" s="3" t="str">
        <f t="shared" si="1"/>
        <v>Teen</v>
      </c>
    </row>
    <row r="42" spans="1:8" x14ac:dyDescent="0.3">
      <c r="A42" s="3">
        <v>41</v>
      </c>
      <c r="B42" s="3">
        <v>16</v>
      </c>
      <c r="C42" s="3">
        <v>2.7</v>
      </c>
      <c r="D42" s="3">
        <v>2.7</v>
      </c>
      <c r="E42" s="3">
        <v>75.8</v>
      </c>
      <c r="F42" s="3">
        <v>1.3</v>
      </c>
      <c r="G42" s="2" t="str">
        <f t="shared" si="0"/>
        <v>Low</v>
      </c>
      <c r="H42" s="3" t="str">
        <f t="shared" si="1"/>
        <v>Teen</v>
      </c>
    </row>
    <row r="43" spans="1:8" x14ac:dyDescent="0.3">
      <c r="A43" s="3">
        <v>42</v>
      </c>
      <c r="B43" s="3">
        <v>13</v>
      </c>
      <c r="C43" s="3">
        <v>2.5</v>
      </c>
      <c r="D43" s="3">
        <v>3.9</v>
      </c>
      <c r="E43" s="3">
        <v>75</v>
      </c>
      <c r="F43" s="3">
        <v>2.5</v>
      </c>
      <c r="G43" s="2" t="str">
        <f t="shared" si="0"/>
        <v>Low</v>
      </c>
      <c r="H43" s="3" t="str">
        <f t="shared" si="1"/>
        <v>Teen</v>
      </c>
    </row>
    <row r="44" spans="1:8" x14ac:dyDescent="0.3">
      <c r="A44" s="3">
        <v>43</v>
      </c>
      <c r="B44" s="3">
        <v>16</v>
      </c>
      <c r="C44" s="3">
        <v>1.2</v>
      </c>
      <c r="D44" s="3">
        <v>0.2</v>
      </c>
      <c r="E44" s="3">
        <v>77.599999999999994</v>
      </c>
      <c r="F44" s="3">
        <v>1.7</v>
      </c>
      <c r="G44" s="2" t="str">
        <f t="shared" si="0"/>
        <v>Low</v>
      </c>
      <c r="H44" s="3" t="str">
        <f t="shared" si="1"/>
        <v>Teen</v>
      </c>
    </row>
    <row r="45" spans="1:8" x14ac:dyDescent="0.3">
      <c r="A45" s="3">
        <v>44</v>
      </c>
      <c r="B45" s="3">
        <v>14</v>
      </c>
      <c r="C45" s="3">
        <v>2.5</v>
      </c>
      <c r="D45" s="3">
        <v>5.7</v>
      </c>
      <c r="E45" s="3">
        <v>76.400000000000006</v>
      </c>
      <c r="F45" s="3">
        <v>1.8</v>
      </c>
      <c r="G45" s="2" t="str">
        <f t="shared" si="0"/>
        <v>High</v>
      </c>
      <c r="H45" s="3" t="str">
        <f t="shared" si="1"/>
        <v>Teen</v>
      </c>
    </row>
    <row r="46" spans="1:8" x14ac:dyDescent="0.3">
      <c r="A46" s="3">
        <v>45</v>
      </c>
      <c r="B46" s="3">
        <v>14</v>
      </c>
      <c r="C46" s="3">
        <v>3.8</v>
      </c>
      <c r="D46" s="3">
        <v>1.2</v>
      </c>
      <c r="E46" s="3">
        <v>65.599999999999994</v>
      </c>
      <c r="F46" s="3">
        <v>1.9</v>
      </c>
      <c r="G46" s="2" t="str">
        <f t="shared" si="0"/>
        <v>Low</v>
      </c>
      <c r="H46" s="3" t="str">
        <f t="shared" si="1"/>
        <v>Teen</v>
      </c>
    </row>
    <row r="47" spans="1:8" x14ac:dyDescent="0.3">
      <c r="A47" s="3">
        <v>46</v>
      </c>
      <c r="B47" s="3">
        <v>13</v>
      </c>
      <c r="C47" s="3">
        <v>1.8</v>
      </c>
      <c r="D47" s="3">
        <v>4.9000000000000004</v>
      </c>
      <c r="E47" s="3">
        <v>74.599999999999994</v>
      </c>
      <c r="F47" s="3">
        <v>1.6</v>
      </c>
      <c r="G47" s="2" t="str">
        <f t="shared" si="0"/>
        <v>High</v>
      </c>
      <c r="H47" s="3" t="str">
        <f t="shared" si="1"/>
        <v>Teen</v>
      </c>
    </row>
    <row r="48" spans="1:8" x14ac:dyDescent="0.3">
      <c r="A48" s="3">
        <v>47</v>
      </c>
      <c r="B48" s="3">
        <v>14</v>
      </c>
      <c r="C48" s="3">
        <v>1.5</v>
      </c>
      <c r="D48" s="3">
        <v>3.7</v>
      </c>
      <c r="E48" s="3">
        <v>76.5</v>
      </c>
      <c r="F48" s="3">
        <v>1.9</v>
      </c>
      <c r="G48" s="2" t="str">
        <f t="shared" si="0"/>
        <v>Low</v>
      </c>
      <c r="H48" s="3" t="str">
        <f t="shared" si="1"/>
        <v>Teen</v>
      </c>
    </row>
    <row r="49" spans="1:8" x14ac:dyDescent="0.3">
      <c r="A49" s="3">
        <v>48</v>
      </c>
      <c r="B49" s="3">
        <v>17</v>
      </c>
      <c r="C49" s="3">
        <v>3.6</v>
      </c>
      <c r="D49" s="3">
        <v>4.4000000000000004</v>
      </c>
      <c r="E49" s="3">
        <v>57.1</v>
      </c>
      <c r="F49" s="3">
        <v>1.4</v>
      </c>
      <c r="G49" s="2" t="str">
        <f t="shared" si="0"/>
        <v>High</v>
      </c>
      <c r="H49" s="3" t="str">
        <f t="shared" si="1"/>
        <v>Teen</v>
      </c>
    </row>
    <row r="50" spans="1:8" x14ac:dyDescent="0.3">
      <c r="A50" s="3">
        <v>49</v>
      </c>
      <c r="B50" s="3">
        <v>14</v>
      </c>
      <c r="C50" s="3">
        <v>3.1</v>
      </c>
      <c r="D50" s="3">
        <v>3.3</v>
      </c>
      <c r="E50" s="3">
        <v>67.3</v>
      </c>
      <c r="F50" s="3">
        <v>1.5</v>
      </c>
      <c r="G50" s="2" t="str">
        <f t="shared" si="0"/>
        <v>Low</v>
      </c>
      <c r="H50" s="3" t="str">
        <f t="shared" si="1"/>
        <v>Teen</v>
      </c>
    </row>
    <row r="51" spans="1:8" x14ac:dyDescent="0.3">
      <c r="A51" s="3">
        <v>50</v>
      </c>
      <c r="B51" s="3">
        <v>16</v>
      </c>
      <c r="C51" s="3">
        <v>5.6</v>
      </c>
      <c r="D51" s="3">
        <v>4.3</v>
      </c>
      <c r="E51" s="3">
        <v>76.099999999999994</v>
      </c>
      <c r="F51" s="3">
        <v>0.6</v>
      </c>
      <c r="G51" s="2" t="str">
        <f t="shared" si="0"/>
        <v>High</v>
      </c>
      <c r="H51" s="3" t="str">
        <f t="shared" si="1"/>
        <v>Teen</v>
      </c>
    </row>
    <row r="52" spans="1:8" x14ac:dyDescent="0.3">
      <c r="A52" s="3">
        <v>51</v>
      </c>
      <c r="B52" s="3">
        <v>16</v>
      </c>
      <c r="C52" s="3">
        <v>1.2</v>
      </c>
      <c r="D52" s="3">
        <v>3.3</v>
      </c>
      <c r="E52" s="3">
        <v>87.1</v>
      </c>
      <c r="F52" s="3">
        <v>1.7</v>
      </c>
      <c r="G52" s="2" t="str">
        <f t="shared" si="0"/>
        <v>Low</v>
      </c>
      <c r="H52" s="3" t="str">
        <f t="shared" si="1"/>
        <v>Teen</v>
      </c>
    </row>
    <row r="53" spans="1:8" x14ac:dyDescent="0.3">
      <c r="A53" s="3">
        <v>52</v>
      </c>
      <c r="B53" s="3">
        <v>16</v>
      </c>
      <c r="C53" s="3">
        <v>3.2</v>
      </c>
      <c r="D53" s="3">
        <v>3.2</v>
      </c>
      <c r="E53" s="3">
        <v>78.2</v>
      </c>
      <c r="F53" s="3">
        <v>0.1</v>
      </c>
      <c r="G53" s="2" t="str">
        <f t="shared" si="0"/>
        <v>Low</v>
      </c>
      <c r="H53" s="3" t="str">
        <f t="shared" si="1"/>
        <v>Teen</v>
      </c>
    </row>
    <row r="54" spans="1:8" x14ac:dyDescent="0.3">
      <c r="A54" s="3">
        <v>53</v>
      </c>
      <c r="B54" s="3">
        <v>16</v>
      </c>
      <c r="C54" s="3">
        <v>2.8</v>
      </c>
      <c r="D54" s="3">
        <v>2.7</v>
      </c>
      <c r="E54" s="3">
        <v>87.7</v>
      </c>
      <c r="F54" s="3">
        <v>1.7</v>
      </c>
      <c r="G54" s="2" t="str">
        <f t="shared" si="0"/>
        <v>Low</v>
      </c>
      <c r="H54" s="3" t="str">
        <f t="shared" si="1"/>
        <v>Teen</v>
      </c>
    </row>
    <row r="55" spans="1:8" x14ac:dyDescent="0.3">
      <c r="A55" s="3">
        <v>54</v>
      </c>
      <c r="B55" s="3">
        <v>18</v>
      </c>
      <c r="C55" s="3">
        <v>2.6</v>
      </c>
      <c r="D55" s="3">
        <v>4</v>
      </c>
      <c r="E55" s="3">
        <v>66</v>
      </c>
      <c r="F55" s="3">
        <v>1.3</v>
      </c>
      <c r="G55" s="2" t="str">
        <f t="shared" si="0"/>
        <v>Low</v>
      </c>
      <c r="H55" s="3" t="str">
        <f t="shared" si="1"/>
        <v>Adult</v>
      </c>
    </row>
    <row r="56" spans="1:8" x14ac:dyDescent="0.3">
      <c r="A56" s="3">
        <v>55</v>
      </c>
      <c r="B56" s="3">
        <v>15</v>
      </c>
      <c r="C56" s="3">
        <v>3.4</v>
      </c>
      <c r="D56" s="3">
        <v>4.5999999999999996</v>
      </c>
      <c r="E56" s="3">
        <v>72.5</v>
      </c>
      <c r="F56" s="3">
        <v>1.8</v>
      </c>
      <c r="G56" s="2" t="str">
        <f t="shared" si="0"/>
        <v>High</v>
      </c>
      <c r="H56" s="3" t="str">
        <f t="shared" si="1"/>
        <v>Teen</v>
      </c>
    </row>
    <row r="57" spans="1:8" x14ac:dyDescent="0.3">
      <c r="A57" s="3">
        <v>56</v>
      </c>
      <c r="B57" s="3">
        <v>13</v>
      </c>
      <c r="C57" s="3">
        <v>2.5</v>
      </c>
      <c r="D57" s="3">
        <v>4.3</v>
      </c>
      <c r="E57" s="3">
        <v>78.099999999999994</v>
      </c>
      <c r="F57" s="3">
        <v>0.7</v>
      </c>
      <c r="G57" s="2" t="str">
        <f t="shared" si="0"/>
        <v>High</v>
      </c>
      <c r="H57" s="3" t="str">
        <f t="shared" si="1"/>
        <v>Teen</v>
      </c>
    </row>
    <row r="58" spans="1:8" x14ac:dyDescent="0.3">
      <c r="A58" s="3">
        <v>57</v>
      </c>
      <c r="B58" s="3">
        <v>16</v>
      </c>
      <c r="C58" s="3">
        <v>0.6</v>
      </c>
      <c r="D58" s="3">
        <v>2.7</v>
      </c>
      <c r="E58" s="3">
        <v>46.7</v>
      </c>
      <c r="F58" s="3">
        <v>0</v>
      </c>
      <c r="G58" s="2" t="str">
        <f t="shared" si="0"/>
        <v>Low</v>
      </c>
      <c r="H58" s="3" t="str">
        <f t="shared" si="1"/>
        <v>Teen</v>
      </c>
    </row>
    <row r="59" spans="1:8" x14ac:dyDescent="0.3">
      <c r="A59" s="3">
        <v>58</v>
      </c>
      <c r="B59" s="3">
        <v>14</v>
      </c>
      <c r="C59" s="3">
        <v>1.7</v>
      </c>
      <c r="D59" s="3">
        <v>3.6</v>
      </c>
      <c r="E59" s="3">
        <v>70.849999999999994</v>
      </c>
      <c r="F59" s="3">
        <v>1.2</v>
      </c>
      <c r="G59" s="2" t="str">
        <f t="shared" si="0"/>
        <v>Low</v>
      </c>
      <c r="H59" s="3" t="str">
        <f t="shared" si="1"/>
        <v>Teen</v>
      </c>
    </row>
    <row r="60" spans="1:8" x14ac:dyDescent="0.3">
      <c r="A60" s="3">
        <v>59</v>
      </c>
      <c r="B60" s="3">
        <v>16</v>
      </c>
      <c r="C60" s="3">
        <v>3.9</v>
      </c>
      <c r="D60" s="3">
        <v>2.5</v>
      </c>
      <c r="E60" s="3">
        <v>51.4</v>
      </c>
      <c r="F60" s="3">
        <v>0.7</v>
      </c>
      <c r="G60" s="2" t="str">
        <f t="shared" si="0"/>
        <v>Low</v>
      </c>
      <c r="H60" s="3" t="str">
        <f t="shared" si="1"/>
        <v>Teen</v>
      </c>
    </row>
    <row r="61" spans="1:8" x14ac:dyDescent="0.3">
      <c r="A61" s="3">
        <v>60</v>
      </c>
      <c r="B61" s="3">
        <v>14</v>
      </c>
      <c r="C61" s="3">
        <v>3.7</v>
      </c>
      <c r="D61" s="3">
        <v>3.3</v>
      </c>
      <c r="E61" s="3">
        <v>80</v>
      </c>
      <c r="F61" s="3">
        <v>0.1</v>
      </c>
      <c r="G61" s="2" t="str">
        <f t="shared" si="0"/>
        <v>Low</v>
      </c>
      <c r="H61" s="3" t="str">
        <f t="shared" si="1"/>
        <v>Teen</v>
      </c>
    </row>
    <row r="62" spans="1:8" x14ac:dyDescent="0.3">
      <c r="A62" s="3">
        <v>61</v>
      </c>
      <c r="B62" s="3">
        <v>14</v>
      </c>
      <c r="C62" s="3">
        <v>2.1</v>
      </c>
      <c r="D62" s="3">
        <v>2.2000000000000002</v>
      </c>
      <c r="E62" s="3">
        <v>76.900000000000006</v>
      </c>
      <c r="F62" s="3">
        <v>2.1</v>
      </c>
      <c r="G62" s="2" t="str">
        <f t="shared" si="0"/>
        <v>Low</v>
      </c>
      <c r="H62" s="3" t="str">
        <f t="shared" si="1"/>
        <v>Teen</v>
      </c>
    </row>
    <row r="63" spans="1:8" x14ac:dyDescent="0.3">
      <c r="A63" s="3">
        <v>62</v>
      </c>
      <c r="B63" s="3">
        <v>16</v>
      </c>
      <c r="C63" s="3">
        <v>3</v>
      </c>
      <c r="D63" s="3">
        <v>6.4</v>
      </c>
      <c r="E63" s="3">
        <v>46.6</v>
      </c>
      <c r="F63" s="3">
        <v>2.8</v>
      </c>
      <c r="G63" s="2" t="str">
        <f t="shared" si="0"/>
        <v>High</v>
      </c>
      <c r="H63" s="3" t="str">
        <f t="shared" si="1"/>
        <v>Teen</v>
      </c>
    </row>
    <row r="64" spans="1:8" x14ac:dyDescent="0.3">
      <c r="A64" s="3">
        <v>63</v>
      </c>
      <c r="B64" s="3">
        <v>18</v>
      </c>
      <c r="C64" s="3">
        <v>5.3</v>
      </c>
      <c r="D64" s="3">
        <v>4</v>
      </c>
      <c r="E64" s="3">
        <v>47.1</v>
      </c>
      <c r="F64" s="3">
        <v>0.9</v>
      </c>
      <c r="G64" s="2" t="str">
        <f t="shared" si="0"/>
        <v>Low</v>
      </c>
      <c r="H64" s="3" t="str">
        <f t="shared" si="1"/>
        <v>Adult</v>
      </c>
    </row>
    <row r="65" spans="1:8" x14ac:dyDescent="0.3">
      <c r="A65" s="3">
        <v>64</v>
      </c>
      <c r="B65" s="3">
        <v>14</v>
      </c>
      <c r="C65" s="3">
        <v>2.5</v>
      </c>
      <c r="D65" s="3">
        <v>2.7</v>
      </c>
      <c r="E65" s="3">
        <v>70.849999999999994</v>
      </c>
      <c r="F65" s="3">
        <v>1.4</v>
      </c>
      <c r="G65" s="2" t="str">
        <f t="shared" si="0"/>
        <v>Low</v>
      </c>
      <c r="H65" s="3" t="str">
        <f t="shared" si="1"/>
        <v>Teen</v>
      </c>
    </row>
    <row r="66" spans="1:8" x14ac:dyDescent="0.3">
      <c r="A66" s="3">
        <v>65</v>
      </c>
      <c r="B66" s="3">
        <v>14</v>
      </c>
      <c r="C66" s="3">
        <v>2.5</v>
      </c>
      <c r="D66" s="3">
        <v>2</v>
      </c>
      <c r="E66" s="3">
        <v>82.1</v>
      </c>
      <c r="F66" s="3">
        <v>1.3</v>
      </c>
      <c r="G66" s="2" t="str">
        <f t="shared" si="0"/>
        <v>Low</v>
      </c>
      <c r="H66" s="3" t="str">
        <f t="shared" si="1"/>
        <v>Teen</v>
      </c>
    </row>
    <row r="67" spans="1:8" x14ac:dyDescent="0.3">
      <c r="A67" s="3">
        <v>66</v>
      </c>
      <c r="B67" s="3">
        <v>16</v>
      </c>
      <c r="C67" s="3">
        <v>2.7</v>
      </c>
      <c r="D67" s="3">
        <v>2.8</v>
      </c>
      <c r="E67" s="3">
        <v>61.2</v>
      </c>
      <c r="F67" s="3">
        <v>1</v>
      </c>
      <c r="G67" s="2" t="str">
        <f t="shared" ref="G67:G130" si="2">IF(D67&gt;4,"High","Low")</f>
        <v>Low</v>
      </c>
      <c r="H67" s="3" t="str">
        <f t="shared" ref="H67:H130" si="3">IF(B67&lt;18,"Teen","Adult")</f>
        <v>Teen</v>
      </c>
    </row>
    <row r="68" spans="1:8" x14ac:dyDescent="0.3">
      <c r="A68" s="3">
        <v>67</v>
      </c>
      <c r="B68" s="3">
        <v>14</v>
      </c>
      <c r="C68" s="3">
        <v>3.1</v>
      </c>
      <c r="D68" s="3">
        <v>3.3</v>
      </c>
      <c r="E68" s="3">
        <v>61.2</v>
      </c>
      <c r="F68" s="3">
        <v>2</v>
      </c>
      <c r="G68" s="2" t="str">
        <f t="shared" si="2"/>
        <v>Low</v>
      </c>
      <c r="H68" s="3" t="str">
        <f t="shared" si="3"/>
        <v>Teen</v>
      </c>
    </row>
    <row r="69" spans="1:8" x14ac:dyDescent="0.3">
      <c r="A69" s="3">
        <v>68</v>
      </c>
      <c r="B69" s="3">
        <v>14</v>
      </c>
      <c r="C69" s="3">
        <v>2.2000000000000002</v>
      </c>
      <c r="D69" s="3">
        <v>3.9</v>
      </c>
      <c r="E69" s="3">
        <v>75.099999999999994</v>
      </c>
      <c r="F69" s="3">
        <v>2.2999999999999998</v>
      </c>
      <c r="G69" s="2" t="str">
        <f t="shared" si="2"/>
        <v>Low</v>
      </c>
      <c r="H69" s="3" t="str">
        <f t="shared" si="3"/>
        <v>Teen</v>
      </c>
    </row>
    <row r="70" spans="1:8" x14ac:dyDescent="0.3">
      <c r="A70" s="3">
        <v>69</v>
      </c>
      <c r="B70" s="3">
        <v>16</v>
      </c>
      <c r="C70" s="3">
        <v>3.1</v>
      </c>
      <c r="D70" s="3">
        <v>3</v>
      </c>
      <c r="E70" s="3">
        <v>69.900000000000006</v>
      </c>
      <c r="F70" s="3">
        <v>0.8</v>
      </c>
      <c r="G70" s="2" t="str">
        <f t="shared" si="2"/>
        <v>Low</v>
      </c>
      <c r="H70" s="3" t="str">
        <f t="shared" si="3"/>
        <v>Teen</v>
      </c>
    </row>
    <row r="71" spans="1:8" x14ac:dyDescent="0.3">
      <c r="A71" s="3">
        <v>70</v>
      </c>
      <c r="B71" s="3">
        <v>16</v>
      </c>
      <c r="C71" s="3">
        <v>0.6</v>
      </c>
      <c r="D71" s="3">
        <v>1.6</v>
      </c>
      <c r="E71" s="3">
        <v>80.5</v>
      </c>
      <c r="F71" s="3">
        <v>1.5</v>
      </c>
      <c r="G71" s="2" t="str">
        <f t="shared" si="2"/>
        <v>Low</v>
      </c>
      <c r="H71" s="3" t="str">
        <f t="shared" si="3"/>
        <v>Teen</v>
      </c>
    </row>
    <row r="72" spans="1:8" x14ac:dyDescent="0.3">
      <c r="A72" s="3">
        <v>71</v>
      </c>
      <c r="B72" s="3">
        <v>13</v>
      </c>
      <c r="C72" s="3">
        <v>2.8</v>
      </c>
      <c r="D72" s="3">
        <v>1.7</v>
      </c>
      <c r="E72" s="3">
        <v>74.8</v>
      </c>
      <c r="F72" s="3">
        <v>2.5</v>
      </c>
      <c r="G72" s="2" t="str">
        <f t="shared" si="2"/>
        <v>Low</v>
      </c>
      <c r="H72" s="3" t="str">
        <f t="shared" si="3"/>
        <v>Teen</v>
      </c>
    </row>
    <row r="73" spans="1:8" x14ac:dyDescent="0.3">
      <c r="A73" s="3">
        <v>72</v>
      </c>
      <c r="B73" s="3">
        <v>17</v>
      </c>
      <c r="C73" s="3">
        <v>2.6</v>
      </c>
      <c r="D73" s="3">
        <v>5</v>
      </c>
      <c r="E73" s="3">
        <v>85.8</v>
      </c>
      <c r="F73" s="3">
        <v>2.1</v>
      </c>
      <c r="G73" s="2" t="str">
        <f t="shared" si="2"/>
        <v>High</v>
      </c>
      <c r="H73" s="3" t="str">
        <f t="shared" si="3"/>
        <v>Teen</v>
      </c>
    </row>
    <row r="74" spans="1:8" x14ac:dyDescent="0.3">
      <c r="A74" s="3">
        <v>73</v>
      </c>
      <c r="B74" s="3">
        <v>17</v>
      </c>
      <c r="C74" s="3">
        <v>2.2999999999999998</v>
      </c>
      <c r="D74" s="3">
        <v>3.8</v>
      </c>
      <c r="E74" s="3">
        <v>79.7</v>
      </c>
      <c r="F74" s="3">
        <v>2.2000000000000002</v>
      </c>
      <c r="G74" s="2" t="str">
        <f t="shared" si="2"/>
        <v>Low</v>
      </c>
      <c r="H74" s="3" t="str">
        <f t="shared" si="3"/>
        <v>Teen</v>
      </c>
    </row>
    <row r="75" spans="1:8" x14ac:dyDescent="0.3">
      <c r="A75" s="3">
        <v>74</v>
      </c>
      <c r="B75" s="3">
        <v>14</v>
      </c>
      <c r="C75" s="3">
        <v>2</v>
      </c>
      <c r="D75" s="3">
        <v>5</v>
      </c>
      <c r="E75" s="3">
        <v>77.2</v>
      </c>
      <c r="F75" s="3">
        <v>2.6</v>
      </c>
      <c r="G75" s="2" t="str">
        <f t="shared" si="2"/>
        <v>High</v>
      </c>
      <c r="H75" s="3" t="str">
        <f t="shared" si="3"/>
        <v>Teen</v>
      </c>
    </row>
    <row r="76" spans="1:8" x14ac:dyDescent="0.3">
      <c r="A76" s="3">
        <v>75</v>
      </c>
      <c r="B76" s="3">
        <v>17</v>
      </c>
      <c r="C76" s="3">
        <v>1.9</v>
      </c>
      <c r="D76" s="3">
        <v>5.2</v>
      </c>
      <c r="E76" s="3">
        <v>66.5</v>
      </c>
      <c r="F76" s="3">
        <v>2.6</v>
      </c>
      <c r="G76" s="2" t="str">
        <f t="shared" si="2"/>
        <v>High</v>
      </c>
      <c r="H76" s="3" t="str">
        <f t="shared" si="3"/>
        <v>Teen</v>
      </c>
    </row>
    <row r="77" spans="1:8" x14ac:dyDescent="0.3">
      <c r="A77" s="3">
        <v>76</v>
      </c>
      <c r="B77" s="3">
        <v>14</v>
      </c>
      <c r="C77" s="3">
        <v>1.7</v>
      </c>
      <c r="D77" s="3">
        <v>4.2</v>
      </c>
      <c r="E77" s="3">
        <v>65.7</v>
      </c>
      <c r="F77" s="3">
        <v>2.2999999999999998</v>
      </c>
      <c r="G77" s="2" t="str">
        <f t="shared" si="2"/>
        <v>High</v>
      </c>
      <c r="H77" s="3" t="str">
        <f t="shared" si="3"/>
        <v>Teen</v>
      </c>
    </row>
    <row r="78" spans="1:8" x14ac:dyDescent="0.3">
      <c r="A78" s="3">
        <v>77</v>
      </c>
      <c r="B78" s="3">
        <v>13</v>
      </c>
      <c r="C78" s="3">
        <v>0.2</v>
      </c>
      <c r="D78" s="3">
        <v>2.2000000000000002</v>
      </c>
      <c r="E78" s="3">
        <v>69.5</v>
      </c>
      <c r="F78" s="3">
        <v>1.6</v>
      </c>
      <c r="G78" s="2" t="str">
        <f t="shared" si="2"/>
        <v>Low</v>
      </c>
      <c r="H78" s="3" t="str">
        <f t="shared" si="3"/>
        <v>Teen</v>
      </c>
    </row>
    <row r="79" spans="1:8" x14ac:dyDescent="0.3">
      <c r="A79" s="3">
        <v>78</v>
      </c>
      <c r="B79" s="3">
        <v>16</v>
      </c>
      <c r="C79" s="3">
        <v>2.2000000000000002</v>
      </c>
      <c r="D79" s="3">
        <v>4.3</v>
      </c>
      <c r="E79" s="3">
        <v>88.4</v>
      </c>
      <c r="F79" s="3">
        <v>1.2</v>
      </c>
      <c r="G79" s="2" t="str">
        <f t="shared" si="2"/>
        <v>High</v>
      </c>
      <c r="H79" s="3" t="str">
        <f t="shared" si="3"/>
        <v>Teen</v>
      </c>
    </row>
    <row r="80" spans="1:8" x14ac:dyDescent="0.3">
      <c r="A80" s="3">
        <v>79</v>
      </c>
      <c r="B80" s="3">
        <v>16</v>
      </c>
      <c r="C80" s="3">
        <v>3.6</v>
      </c>
      <c r="D80" s="3">
        <v>6.1</v>
      </c>
      <c r="E80" s="3">
        <v>65.900000000000006</v>
      </c>
      <c r="F80" s="3">
        <v>1.6</v>
      </c>
      <c r="G80" s="2" t="str">
        <f t="shared" si="2"/>
        <v>High</v>
      </c>
      <c r="H80" s="3" t="str">
        <f t="shared" si="3"/>
        <v>Teen</v>
      </c>
    </row>
    <row r="81" spans="1:8" x14ac:dyDescent="0.3">
      <c r="A81" s="3">
        <v>80</v>
      </c>
      <c r="B81" s="3">
        <v>16</v>
      </c>
      <c r="C81" s="3">
        <v>2.2000000000000002</v>
      </c>
      <c r="D81" s="3">
        <v>3.3</v>
      </c>
      <c r="E81" s="3">
        <v>72.599999999999994</v>
      </c>
      <c r="F81" s="3">
        <v>1.1000000000000001</v>
      </c>
      <c r="G81" s="2" t="str">
        <f t="shared" si="2"/>
        <v>Low</v>
      </c>
      <c r="H81" s="3" t="str">
        <f t="shared" si="3"/>
        <v>Teen</v>
      </c>
    </row>
    <row r="82" spans="1:8" x14ac:dyDescent="0.3">
      <c r="A82" s="3">
        <v>81</v>
      </c>
      <c r="B82" s="3">
        <v>17</v>
      </c>
      <c r="C82" s="3">
        <v>3.1</v>
      </c>
      <c r="D82" s="3">
        <v>4.5</v>
      </c>
      <c r="E82" s="3">
        <v>47.6</v>
      </c>
      <c r="F82" s="3">
        <v>0</v>
      </c>
      <c r="G82" s="2" t="str">
        <f t="shared" si="2"/>
        <v>High</v>
      </c>
      <c r="H82" s="3" t="str">
        <f t="shared" si="3"/>
        <v>Teen</v>
      </c>
    </row>
    <row r="83" spans="1:8" x14ac:dyDescent="0.3">
      <c r="A83" s="3">
        <v>82</v>
      </c>
      <c r="B83" s="3">
        <v>13</v>
      </c>
      <c r="C83" s="3">
        <v>1.4</v>
      </c>
      <c r="D83" s="3">
        <v>4</v>
      </c>
      <c r="E83" s="3">
        <v>76.8</v>
      </c>
      <c r="F83" s="3">
        <v>1.3</v>
      </c>
      <c r="G83" s="2" t="str">
        <f t="shared" si="2"/>
        <v>Low</v>
      </c>
      <c r="H83" s="3" t="str">
        <f t="shared" si="3"/>
        <v>Teen</v>
      </c>
    </row>
    <row r="84" spans="1:8" x14ac:dyDescent="0.3">
      <c r="A84" s="3">
        <v>83</v>
      </c>
      <c r="B84" s="3">
        <v>18</v>
      </c>
      <c r="C84" s="3">
        <v>1.2</v>
      </c>
      <c r="D84" s="3">
        <v>6.1</v>
      </c>
      <c r="E84" s="3">
        <v>92.6</v>
      </c>
      <c r="F84" s="3">
        <v>1.8</v>
      </c>
      <c r="G84" s="2" t="str">
        <f t="shared" si="2"/>
        <v>High</v>
      </c>
      <c r="H84" s="3" t="str">
        <f t="shared" si="3"/>
        <v>Adult</v>
      </c>
    </row>
    <row r="85" spans="1:8" x14ac:dyDescent="0.3">
      <c r="A85" s="3">
        <v>84</v>
      </c>
      <c r="B85" s="3">
        <v>17</v>
      </c>
      <c r="C85" s="3">
        <v>1.7</v>
      </c>
      <c r="D85" s="3">
        <v>3</v>
      </c>
      <c r="E85" s="3">
        <v>60.7</v>
      </c>
      <c r="F85" s="3">
        <v>1</v>
      </c>
      <c r="G85" s="2" t="str">
        <f t="shared" si="2"/>
        <v>Low</v>
      </c>
      <c r="H85" s="3" t="str">
        <f t="shared" si="3"/>
        <v>Teen</v>
      </c>
    </row>
    <row r="86" spans="1:8" x14ac:dyDescent="0.3">
      <c r="A86" s="3">
        <v>85</v>
      </c>
      <c r="B86" s="3">
        <v>13</v>
      </c>
      <c r="C86" s="3">
        <v>1.5</v>
      </c>
      <c r="D86" s="3">
        <v>5.7</v>
      </c>
      <c r="E86" s="3">
        <v>100</v>
      </c>
      <c r="F86" s="3">
        <v>1.3</v>
      </c>
      <c r="G86" s="2" t="str">
        <f t="shared" si="2"/>
        <v>High</v>
      </c>
      <c r="H86" s="3" t="str">
        <f t="shared" si="3"/>
        <v>Teen</v>
      </c>
    </row>
    <row r="87" spans="1:8" x14ac:dyDescent="0.3">
      <c r="A87" s="3">
        <v>86</v>
      </c>
      <c r="B87" s="3">
        <v>13</v>
      </c>
      <c r="C87" s="3">
        <v>1.3</v>
      </c>
      <c r="D87" s="3">
        <v>3.4</v>
      </c>
      <c r="E87" s="3">
        <v>71.8</v>
      </c>
      <c r="F87" s="3">
        <v>1.4</v>
      </c>
      <c r="G87" s="2" t="str">
        <f t="shared" si="2"/>
        <v>Low</v>
      </c>
      <c r="H87" s="3" t="str">
        <f t="shared" si="3"/>
        <v>Teen</v>
      </c>
    </row>
    <row r="88" spans="1:8" x14ac:dyDescent="0.3">
      <c r="A88" s="3">
        <v>87</v>
      </c>
      <c r="B88" s="3">
        <v>13</v>
      </c>
      <c r="C88" s="3">
        <v>2.9</v>
      </c>
      <c r="D88" s="3">
        <v>3</v>
      </c>
      <c r="E88" s="3">
        <v>44.3</v>
      </c>
      <c r="F88" s="3">
        <v>2.6</v>
      </c>
      <c r="G88" s="2" t="str">
        <f t="shared" si="2"/>
        <v>Low</v>
      </c>
      <c r="H88" s="3" t="str">
        <f t="shared" si="3"/>
        <v>Teen</v>
      </c>
    </row>
    <row r="89" spans="1:8" x14ac:dyDescent="0.3">
      <c r="A89" s="3">
        <v>88</v>
      </c>
      <c r="B89" s="3">
        <v>13</v>
      </c>
      <c r="C89" s="3">
        <v>4.3</v>
      </c>
      <c r="D89" s="3">
        <v>4.2</v>
      </c>
      <c r="E89" s="3">
        <v>66.099999999999994</v>
      </c>
      <c r="F89" s="3">
        <v>1.2</v>
      </c>
      <c r="G89" s="2" t="str">
        <f t="shared" si="2"/>
        <v>High</v>
      </c>
      <c r="H89" s="3" t="str">
        <f t="shared" si="3"/>
        <v>Teen</v>
      </c>
    </row>
    <row r="90" spans="1:8" x14ac:dyDescent="0.3">
      <c r="A90" s="3">
        <v>89</v>
      </c>
      <c r="B90" s="3">
        <v>16</v>
      </c>
      <c r="C90" s="3">
        <v>1.8</v>
      </c>
      <c r="D90" s="3">
        <v>4.5</v>
      </c>
      <c r="E90" s="3">
        <v>83.3</v>
      </c>
      <c r="F90" s="3">
        <v>2.6</v>
      </c>
      <c r="G90" s="2" t="str">
        <f t="shared" si="2"/>
        <v>High</v>
      </c>
      <c r="H90" s="3" t="str">
        <f t="shared" si="3"/>
        <v>Teen</v>
      </c>
    </row>
    <row r="91" spans="1:8" x14ac:dyDescent="0.3">
      <c r="A91" s="3">
        <v>90</v>
      </c>
      <c r="B91" s="3">
        <v>15</v>
      </c>
      <c r="C91" s="3">
        <v>2.5</v>
      </c>
      <c r="D91" s="3">
        <v>6.9</v>
      </c>
      <c r="E91" s="3">
        <v>90</v>
      </c>
      <c r="F91" s="3">
        <v>0</v>
      </c>
      <c r="G91" s="2" t="str">
        <f t="shared" si="2"/>
        <v>High</v>
      </c>
      <c r="H91" s="3" t="str">
        <f t="shared" si="3"/>
        <v>Teen</v>
      </c>
    </row>
    <row r="92" spans="1:8" x14ac:dyDescent="0.3">
      <c r="A92" s="3">
        <v>91</v>
      </c>
      <c r="B92" s="3">
        <v>15</v>
      </c>
      <c r="C92" s="3">
        <v>3.2</v>
      </c>
      <c r="D92" s="3">
        <v>4.5</v>
      </c>
      <c r="E92" s="3">
        <v>77.2</v>
      </c>
      <c r="F92" s="3">
        <v>2.6</v>
      </c>
      <c r="G92" s="2" t="str">
        <f t="shared" si="2"/>
        <v>High</v>
      </c>
      <c r="H92" s="3" t="str">
        <f t="shared" si="3"/>
        <v>Teen</v>
      </c>
    </row>
    <row r="93" spans="1:8" x14ac:dyDescent="0.3">
      <c r="A93" s="3">
        <v>92</v>
      </c>
      <c r="B93" s="3">
        <v>13</v>
      </c>
      <c r="C93" s="3">
        <v>1.1000000000000001</v>
      </c>
      <c r="D93" s="3">
        <v>4.3</v>
      </c>
      <c r="E93" s="3">
        <v>85.7</v>
      </c>
      <c r="F93" s="3">
        <v>2.5</v>
      </c>
      <c r="G93" s="2" t="str">
        <f t="shared" si="2"/>
        <v>High</v>
      </c>
      <c r="H93" s="3" t="str">
        <f t="shared" si="3"/>
        <v>Teen</v>
      </c>
    </row>
    <row r="94" spans="1:8" x14ac:dyDescent="0.3">
      <c r="A94" s="3">
        <v>93</v>
      </c>
      <c r="B94" s="3">
        <v>15</v>
      </c>
      <c r="C94" s="3">
        <v>1.3</v>
      </c>
      <c r="D94" s="3">
        <v>6.4</v>
      </c>
      <c r="E94" s="3">
        <v>58.2</v>
      </c>
      <c r="F94" s="3">
        <v>2.2000000000000002</v>
      </c>
      <c r="G94" s="2" t="str">
        <f t="shared" si="2"/>
        <v>High</v>
      </c>
      <c r="H94" s="3" t="str">
        <f t="shared" si="3"/>
        <v>Teen</v>
      </c>
    </row>
    <row r="95" spans="1:8" x14ac:dyDescent="0.3">
      <c r="A95" s="3">
        <v>94</v>
      </c>
      <c r="B95" s="3">
        <v>15</v>
      </c>
      <c r="C95" s="3">
        <v>3</v>
      </c>
      <c r="D95" s="3">
        <v>4.9000000000000004</v>
      </c>
      <c r="E95" s="3">
        <v>63.2</v>
      </c>
      <c r="F95" s="3">
        <v>0</v>
      </c>
      <c r="G95" s="2" t="str">
        <f t="shared" si="2"/>
        <v>High</v>
      </c>
      <c r="H95" s="3" t="str">
        <f t="shared" si="3"/>
        <v>Teen</v>
      </c>
    </row>
    <row r="96" spans="1:8" x14ac:dyDescent="0.3">
      <c r="A96" s="3">
        <v>95</v>
      </c>
      <c r="B96" s="3">
        <v>13</v>
      </c>
      <c r="C96" s="3">
        <v>2.2999999999999998</v>
      </c>
      <c r="D96" s="3">
        <v>3</v>
      </c>
      <c r="E96" s="3">
        <v>53.2</v>
      </c>
      <c r="F96" s="3">
        <v>2.2999999999999998</v>
      </c>
      <c r="G96" s="2" t="str">
        <f t="shared" si="2"/>
        <v>Low</v>
      </c>
      <c r="H96" s="3" t="str">
        <f t="shared" si="3"/>
        <v>Teen</v>
      </c>
    </row>
    <row r="97" spans="1:8" x14ac:dyDescent="0.3">
      <c r="A97" s="3">
        <v>96</v>
      </c>
      <c r="B97" s="3">
        <v>15</v>
      </c>
      <c r="C97" s="3">
        <v>1.8</v>
      </c>
      <c r="D97" s="3">
        <v>6</v>
      </c>
      <c r="E97" s="3">
        <v>63.9</v>
      </c>
      <c r="F97" s="3">
        <v>1.5</v>
      </c>
      <c r="G97" s="2" t="str">
        <f t="shared" si="2"/>
        <v>High</v>
      </c>
      <c r="H97" s="3" t="str">
        <f t="shared" si="3"/>
        <v>Teen</v>
      </c>
    </row>
    <row r="98" spans="1:8" x14ac:dyDescent="0.3">
      <c r="A98" s="3">
        <v>97</v>
      </c>
      <c r="B98" s="3">
        <v>17</v>
      </c>
      <c r="C98" s="3">
        <v>2.6</v>
      </c>
      <c r="D98" s="3">
        <v>2.9</v>
      </c>
      <c r="E98" s="3">
        <v>77.599999999999994</v>
      </c>
      <c r="F98" s="3">
        <v>0</v>
      </c>
      <c r="G98" s="2" t="str">
        <f t="shared" si="2"/>
        <v>Low</v>
      </c>
      <c r="H98" s="3" t="str">
        <f t="shared" si="3"/>
        <v>Teen</v>
      </c>
    </row>
    <row r="99" spans="1:8" x14ac:dyDescent="0.3">
      <c r="A99" s="3">
        <v>98</v>
      </c>
      <c r="B99" s="3">
        <v>14</v>
      </c>
      <c r="C99" s="3">
        <v>2.1</v>
      </c>
      <c r="D99" s="3">
        <v>3</v>
      </c>
      <c r="E99" s="3">
        <v>72.099999999999994</v>
      </c>
      <c r="F99" s="3">
        <v>2.5</v>
      </c>
      <c r="G99" s="2" t="str">
        <f t="shared" si="2"/>
        <v>Low</v>
      </c>
      <c r="H99" s="3" t="str">
        <f t="shared" si="3"/>
        <v>Teen</v>
      </c>
    </row>
    <row r="100" spans="1:8" x14ac:dyDescent="0.3">
      <c r="A100" s="3">
        <v>99</v>
      </c>
      <c r="B100" s="3">
        <v>14</v>
      </c>
      <c r="C100" s="3">
        <v>4.4000000000000004</v>
      </c>
      <c r="D100" s="3">
        <v>2.7</v>
      </c>
      <c r="E100" s="3">
        <v>78.7</v>
      </c>
      <c r="F100" s="3">
        <v>2.7</v>
      </c>
      <c r="G100" s="2" t="str">
        <f t="shared" si="2"/>
        <v>Low</v>
      </c>
      <c r="H100" s="3" t="str">
        <f t="shared" si="3"/>
        <v>Teen</v>
      </c>
    </row>
    <row r="101" spans="1:8" x14ac:dyDescent="0.3">
      <c r="A101" s="3">
        <v>100</v>
      </c>
      <c r="B101" s="3">
        <v>13</v>
      </c>
      <c r="C101" s="3">
        <v>1.8</v>
      </c>
      <c r="D101" s="3">
        <v>2.6</v>
      </c>
      <c r="E101" s="3">
        <v>60.6</v>
      </c>
      <c r="F101" s="3">
        <v>0</v>
      </c>
      <c r="G101" s="2" t="str">
        <f t="shared" si="2"/>
        <v>Low</v>
      </c>
      <c r="H101" s="3" t="str">
        <f t="shared" si="3"/>
        <v>Teen</v>
      </c>
    </row>
    <row r="102" spans="1:8" x14ac:dyDescent="0.3">
      <c r="A102" s="3">
        <v>101</v>
      </c>
      <c r="B102" s="3">
        <v>16</v>
      </c>
      <c r="C102" s="3">
        <v>1.6</v>
      </c>
      <c r="D102" s="3">
        <v>4.5</v>
      </c>
      <c r="E102" s="3">
        <v>61.2</v>
      </c>
      <c r="F102" s="3">
        <v>1.6</v>
      </c>
      <c r="G102" s="2" t="str">
        <f t="shared" si="2"/>
        <v>High</v>
      </c>
      <c r="H102" s="3" t="str">
        <f t="shared" si="3"/>
        <v>Teen</v>
      </c>
    </row>
    <row r="103" spans="1:8" x14ac:dyDescent="0.3">
      <c r="A103" s="3">
        <v>102</v>
      </c>
      <c r="B103" s="3">
        <v>13</v>
      </c>
      <c r="C103" s="3">
        <v>2</v>
      </c>
      <c r="D103" s="3">
        <v>3.6</v>
      </c>
      <c r="E103" s="3">
        <v>72</v>
      </c>
      <c r="F103" s="3">
        <v>2.6</v>
      </c>
      <c r="G103" s="2" t="str">
        <f t="shared" si="2"/>
        <v>Low</v>
      </c>
      <c r="H103" s="3" t="str">
        <f t="shared" si="3"/>
        <v>Teen</v>
      </c>
    </row>
    <row r="104" spans="1:8" x14ac:dyDescent="0.3">
      <c r="A104" s="3">
        <v>103</v>
      </c>
      <c r="B104" s="3">
        <v>16</v>
      </c>
      <c r="C104" s="3">
        <v>2.1</v>
      </c>
      <c r="D104" s="3">
        <v>0</v>
      </c>
      <c r="E104" s="3">
        <v>64</v>
      </c>
      <c r="F104" s="3">
        <v>2.5</v>
      </c>
      <c r="G104" s="2" t="str">
        <f t="shared" si="2"/>
        <v>Low</v>
      </c>
      <c r="H104" s="3" t="str">
        <f t="shared" si="3"/>
        <v>Teen</v>
      </c>
    </row>
    <row r="105" spans="1:8" x14ac:dyDescent="0.3">
      <c r="A105" s="3">
        <v>104</v>
      </c>
      <c r="B105" s="3">
        <v>14</v>
      </c>
      <c r="C105" s="3">
        <v>2.5</v>
      </c>
      <c r="D105" s="3">
        <v>3.6</v>
      </c>
      <c r="E105" s="3">
        <v>83</v>
      </c>
      <c r="F105" s="3">
        <v>2.2000000000000002</v>
      </c>
      <c r="G105" s="2" t="str">
        <f t="shared" si="2"/>
        <v>Low</v>
      </c>
      <c r="H105" s="3" t="str">
        <f t="shared" si="3"/>
        <v>Teen</v>
      </c>
    </row>
    <row r="106" spans="1:8" x14ac:dyDescent="0.3">
      <c r="A106" s="3">
        <v>105</v>
      </c>
      <c r="B106" s="3">
        <v>13</v>
      </c>
      <c r="C106" s="3">
        <v>0.5</v>
      </c>
      <c r="D106" s="3">
        <v>3.2</v>
      </c>
      <c r="E106" s="3">
        <v>63.7</v>
      </c>
      <c r="F106" s="3">
        <v>0</v>
      </c>
      <c r="G106" s="2" t="str">
        <f t="shared" si="2"/>
        <v>Low</v>
      </c>
      <c r="H106" s="3" t="str">
        <f t="shared" si="3"/>
        <v>Teen</v>
      </c>
    </row>
    <row r="107" spans="1:8" x14ac:dyDescent="0.3">
      <c r="A107" s="3">
        <v>106</v>
      </c>
      <c r="B107" s="3">
        <v>17</v>
      </c>
      <c r="C107" s="3">
        <v>2.9</v>
      </c>
      <c r="D107" s="3">
        <v>5.3</v>
      </c>
      <c r="E107" s="3">
        <v>65</v>
      </c>
      <c r="F107" s="3">
        <v>2.1</v>
      </c>
      <c r="G107" s="2" t="str">
        <f t="shared" si="2"/>
        <v>High</v>
      </c>
      <c r="H107" s="3" t="str">
        <f t="shared" si="3"/>
        <v>Teen</v>
      </c>
    </row>
    <row r="108" spans="1:8" x14ac:dyDescent="0.3">
      <c r="A108" s="3">
        <v>107</v>
      </c>
      <c r="B108" s="3">
        <v>15</v>
      </c>
      <c r="C108" s="3">
        <v>2</v>
      </c>
      <c r="D108" s="3">
        <v>3.2</v>
      </c>
      <c r="E108" s="3">
        <v>74.2</v>
      </c>
      <c r="F108" s="3">
        <v>1.3</v>
      </c>
      <c r="G108" s="2" t="str">
        <f t="shared" si="2"/>
        <v>Low</v>
      </c>
      <c r="H108" s="3" t="str">
        <f t="shared" si="3"/>
        <v>Teen</v>
      </c>
    </row>
    <row r="109" spans="1:8" x14ac:dyDescent="0.3">
      <c r="A109" s="3">
        <v>108</v>
      </c>
      <c r="B109" s="3">
        <v>16</v>
      </c>
      <c r="C109" s="3">
        <v>3.3</v>
      </c>
      <c r="D109" s="3">
        <v>7.8</v>
      </c>
      <c r="E109" s="3">
        <v>66.099999999999994</v>
      </c>
      <c r="F109" s="3">
        <v>2.2999999999999998</v>
      </c>
      <c r="G109" s="2" t="str">
        <f t="shared" si="2"/>
        <v>High</v>
      </c>
      <c r="H109" s="3" t="str">
        <f t="shared" si="3"/>
        <v>Teen</v>
      </c>
    </row>
    <row r="110" spans="1:8" x14ac:dyDescent="0.3">
      <c r="A110" s="3">
        <v>109</v>
      </c>
      <c r="B110" s="3">
        <v>15</v>
      </c>
      <c r="C110" s="3">
        <v>2.5</v>
      </c>
      <c r="D110" s="3">
        <v>6.1</v>
      </c>
      <c r="E110" s="3">
        <v>57.7</v>
      </c>
      <c r="F110" s="3">
        <v>1.7</v>
      </c>
      <c r="G110" s="2" t="str">
        <f t="shared" si="2"/>
        <v>High</v>
      </c>
      <c r="H110" s="3" t="str">
        <f t="shared" si="3"/>
        <v>Teen</v>
      </c>
    </row>
    <row r="111" spans="1:8" x14ac:dyDescent="0.3">
      <c r="A111" s="3">
        <v>110</v>
      </c>
      <c r="B111" s="3">
        <v>15</v>
      </c>
      <c r="C111" s="3">
        <v>3</v>
      </c>
      <c r="D111" s="3">
        <v>3.4</v>
      </c>
      <c r="E111" s="3">
        <v>59</v>
      </c>
      <c r="F111" s="3">
        <v>1.5</v>
      </c>
      <c r="G111" s="2" t="str">
        <f t="shared" si="2"/>
        <v>Low</v>
      </c>
      <c r="H111" s="3" t="str">
        <f t="shared" si="3"/>
        <v>Teen</v>
      </c>
    </row>
    <row r="112" spans="1:8" x14ac:dyDescent="0.3">
      <c r="A112" s="3">
        <v>111</v>
      </c>
      <c r="B112" s="3">
        <v>13</v>
      </c>
      <c r="C112" s="3">
        <v>2.1</v>
      </c>
      <c r="D112" s="3">
        <v>5.7</v>
      </c>
      <c r="E112" s="3">
        <v>75.400000000000006</v>
      </c>
      <c r="F112" s="3">
        <v>2</v>
      </c>
      <c r="G112" s="2" t="str">
        <f t="shared" si="2"/>
        <v>High</v>
      </c>
      <c r="H112" s="3" t="str">
        <f t="shared" si="3"/>
        <v>Teen</v>
      </c>
    </row>
    <row r="113" spans="1:8" x14ac:dyDescent="0.3">
      <c r="A113" s="3">
        <v>112</v>
      </c>
      <c r="B113" s="3">
        <v>15</v>
      </c>
      <c r="C113" s="3">
        <v>2.9</v>
      </c>
      <c r="D113" s="3">
        <v>4</v>
      </c>
      <c r="E113" s="3">
        <v>56.4</v>
      </c>
      <c r="F113" s="3">
        <v>1.4</v>
      </c>
      <c r="G113" s="2" t="str">
        <f t="shared" si="2"/>
        <v>Low</v>
      </c>
      <c r="H113" s="3" t="str">
        <f t="shared" si="3"/>
        <v>Teen</v>
      </c>
    </row>
    <row r="114" spans="1:8" x14ac:dyDescent="0.3">
      <c r="A114" s="3">
        <v>113</v>
      </c>
      <c r="B114" s="3">
        <v>18</v>
      </c>
      <c r="C114" s="3">
        <v>4.2</v>
      </c>
      <c r="D114" s="3">
        <v>4.4000000000000004</v>
      </c>
      <c r="E114" s="3">
        <v>84</v>
      </c>
      <c r="F114" s="3">
        <v>1.5</v>
      </c>
      <c r="G114" s="2" t="str">
        <f t="shared" si="2"/>
        <v>High</v>
      </c>
      <c r="H114" s="3" t="str">
        <f t="shared" si="3"/>
        <v>Adult</v>
      </c>
    </row>
    <row r="115" spans="1:8" x14ac:dyDescent="0.3">
      <c r="A115" s="3">
        <v>114</v>
      </c>
      <c r="B115" s="3">
        <v>15</v>
      </c>
      <c r="C115" s="3">
        <v>1.8</v>
      </c>
      <c r="D115" s="3">
        <v>5.2</v>
      </c>
      <c r="E115" s="3">
        <v>63.1</v>
      </c>
      <c r="F115" s="3">
        <v>1.1000000000000001</v>
      </c>
      <c r="G115" s="2" t="str">
        <f t="shared" si="2"/>
        <v>High</v>
      </c>
      <c r="H115" s="3" t="str">
        <f t="shared" si="3"/>
        <v>Teen</v>
      </c>
    </row>
    <row r="116" spans="1:8" x14ac:dyDescent="0.3">
      <c r="A116" s="3">
        <v>115</v>
      </c>
      <c r="B116" s="3">
        <v>13</v>
      </c>
      <c r="C116" s="3">
        <v>2.4</v>
      </c>
      <c r="D116" s="3">
        <v>4.0999999999999996</v>
      </c>
      <c r="E116" s="3">
        <v>76.2</v>
      </c>
      <c r="F116" s="3">
        <v>0.2</v>
      </c>
      <c r="G116" s="2" t="str">
        <f t="shared" si="2"/>
        <v>High</v>
      </c>
      <c r="H116" s="3" t="str">
        <f t="shared" si="3"/>
        <v>Teen</v>
      </c>
    </row>
    <row r="117" spans="1:8" x14ac:dyDescent="0.3">
      <c r="A117" s="3">
        <v>116</v>
      </c>
      <c r="B117" s="3">
        <v>17</v>
      </c>
      <c r="C117" s="3">
        <v>2</v>
      </c>
      <c r="D117" s="3">
        <v>4.4000000000000004</v>
      </c>
      <c r="E117" s="3">
        <v>63.7</v>
      </c>
      <c r="F117" s="3">
        <v>2</v>
      </c>
      <c r="G117" s="2" t="str">
        <f t="shared" si="2"/>
        <v>High</v>
      </c>
      <c r="H117" s="3" t="str">
        <f t="shared" si="3"/>
        <v>Teen</v>
      </c>
    </row>
    <row r="118" spans="1:8" x14ac:dyDescent="0.3">
      <c r="A118" s="3">
        <v>117</v>
      </c>
      <c r="B118" s="3">
        <v>14</v>
      </c>
      <c r="C118" s="3">
        <v>4.0999999999999996</v>
      </c>
      <c r="D118" s="3">
        <v>5.2</v>
      </c>
      <c r="E118" s="3">
        <v>60.8</v>
      </c>
      <c r="F118" s="3">
        <v>0.9</v>
      </c>
      <c r="G118" s="2" t="str">
        <f t="shared" si="2"/>
        <v>High</v>
      </c>
      <c r="H118" s="3" t="str">
        <f t="shared" si="3"/>
        <v>Teen</v>
      </c>
    </row>
    <row r="119" spans="1:8" x14ac:dyDescent="0.3">
      <c r="A119" s="3">
        <v>118</v>
      </c>
      <c r="B119" s="3">
        <v>15</v>
      </c>
      <c r="C119" s="3">
        <v>2.1</v>
      </c>
      <c r="D119" s="3">
        <v>7.1</v>
      </c>
      <c r="E119" s="3">
        <v>72.5</v>
      </c>
      <c r="F119" s="3">
        <v>1.3</v>
      </c>
      <c r="G119" s="2" t="str">
        <f t="shared" si="2"/>
        <v>High</v>
      </c>
      <c r="H119" s="3" t="str">
        <f t="shared" si="3"/>
        <v>Teen</v>
      </c>
    </row>
    <row r="120" spans="1:8" x14ac:dyDescent="0.3">
      <c r="A120" s="3">
        <v>119</v>
      </c>
      <c r="B120" s="3">
        <v>13</v>
      </c>
      <c r="C120" s="3">
        <v>1.8</v>
      </c>
      <c r="D120" s="3">
        <v>4.4000000000000004</v>
      </c>
      <c r="E120" s="3">
        <v>80.5</v>
      </c>
      <c r="F120" s="3">
        <v>1.7</v>
      </c>
      <c r="G120" s="2" t="str">
        <f t="shared" si="2"/>
        <v>High</v>
      </c>
      <c r="H120" s="3" t="str">
        <f t="shared" si="3"/>
        <v>Teen</v>
      </c>
    </row>
    <row r="121" spans="1:8" x14ac:dyDescent="0.3">
      <c r="A121" s="3">
        <v>120</v>
      </c>
      <c r="B121" s="3">
        <v>14</v>
      </c>
      <c r="C121" s="3">
        <v>1.9</v>
      </c>
      <c r="D121" s="3">
        <v>3.3</v>
      </c>
      <c r="E121" s="3">
        <v>67.5</v>
      </c>
      <c r="F121" s="3">
        <v>0</v>
      </c>
      <c r="G121" s="2" t="str">
        <f t="shared" si="2"/>
        <v>Low</v>
      </c>
      <c r="H121" s="3" t="str">
        <f t="shared" si="3"/>
        <v>Teen</v>
      </c>
    </row>
    <row r="122" spans="1:8" x14ac:dyDescent="0.3">
      <c r="A122" s="3">
        <v>121</v>
      </c>
      <c r="B122" s="3">
        <v>14</v>
      </c>
      <c r="C122" s="3">
        <v>2.4</v>
      </c>
      <c r="D122" s="3">
        <v>1</v>
      </c>
      <c r="E122" s="3">
        <v>69.3</v>
      </c>
      <c r="F122" s="3">
        <v>0</v>
      </c>
      <c r="G122" s="2" t="str">
        <f t="shared" si="2"/>
        <v>Low</v>
      </c>
      <c r="H122" s="3" t="str">
        <f t="shared" si="3"/>
        <v>Teen</v>
      </c>
    </row>
    <row r="123" spans="1:8" x14ac:dyDescent="0.3">
      <c r="A123" s="3">
        <v>122</v>
      </c>
      <c r="B123" s="3">
        <v>16</v>
      </c>
      <c r="C123" s="3">
        <v>1.7</v>
      </c>
      <c r="D123" s="3">
        <v>6.9</v>
      </c>
      <c r="E123" s="3">
        <v>78.099999999999994</v>
      </c>
      <c r="F123" s="3">
        <v>1.3</v>
      </c>
      <c r="G123" s="2" t="str">
        <f t="shared" si="2"/>
        <v>High</v>
      </c>
      <c r="H123" s="3" t="str">
        <f t="shared" si="3"/>
        <v>Teen</v>
      </c>
    </row>
    <row r="124" spans="1:8" x14ac:dyDescent="0.3">
      <c r="A124" s="3">
        <v>123</v>
      </c>
      <c r="B124" s="3">
        <v>17</v>
      </c>
      <c r="C124" s="3">
        <v>2.1</v>
      </c>
      <c r="D124" s="3">
        <v>3.6</v>
      </c>
      <c r="E124" s="3">
        <v>78.400000000000006</v>
      </c>
      <c r="F124" s="3">
        <v>1.9</v>
      </c>
      <c r="G124" s="2" t="str">
        <f t="shared" si="2"/>
        <v>Low</v>
      </c>
      <c r="H124" s="3" t="str">
        <f t="shared" si="3"/>
        <v>Teen</v>
      </c>
    </row>
    <row r="125" spans="1:8" x14ac:dyDescent="0.3">
      <c r="A125" s="3">
        <v>124</v>
      </c>
      <c r="B125" s="3">
        <v>15</v>
      </c>
      <c r="C125" s="3">
        <v>2.7</v>
      </c>
      <c r="D125" s="3">
        <v>4.8</v>
      </c>
      <c r="E125" s="3">
        <v>69.599999999999994</v>
      </c>
      <c r="F125" s="3">
        <v>2.1</v>
      </c>
      <c r="G125" s="2" t="str">
        <f t="shared" si="2"/>
        <v>High</v>
      </c>
      <c r="H125" s="3" t="str">
        <f t="shared" si="3"/>
        <v>Teen</v>
      </c>
    </row>
    <row r="126" spans="1:8" x14ac:dyDescent="0.3">
      <c r="A126" s="3">
        <v>125</v>
      </c>
      <c r="B126" s="3">
        <v>13</v>
      </c>
      <c r="C126" s="3">
        <v>2.4</v>
      </c>
      <c r="D126" s="3">
        <v>6.9</v>
      </c>
      <c r="E126" s="3">
        <v>65.599999999999994</v>
      </c>
      <c r="F126" s="3">
        <v>0.2</v>
      </c>
      <c r="G126" s="2" t="str">
        <f t="shared" si="2"/>
        <v>High</v>
      </c>
      <c r="H126" s="3" t="str">
        <f t="shared" si="3"/>
        <v>Teen</v>
      </c>
    </row>
    <row r="127" spans="1:8" x14ac:dyDescent="0.3">
      <c r="A127" s="3">
        <v>126</v>
      </c>
      <c r="B127" s="3">
        <v>16</v>
      </c>
      <c r="C127" s="3">
        <v>3.3</v>
      </c>
      <c r="D127" s="3">
        <v>4.3</v>
      </c>
      <c r="E127" s="3">
        <v>70.8</v>
      </c>
      <c r="F127" s="3">
        <v>2</v>
      </c>
      <c r="G127" s="2" t="str">
        <f t="shared" si="2"/>
        <v>High</v>
      </c>
      <c r="H127" s="3" t="str">
        <f t="shared" si="3"/>
        <v>Teen</v>
      </c>
    </row>
    <row r="128" spans="1:8" x14ac:dyDescent="0.3">
      <c r="A128" s="3">
        <v>127</v>
      </c>
      <c r="B128" s="3">
        <v>17</v>
      </c>
      <c r="C128" s="3">
        <v>2.2000000000000002</v>
      </c>
      <c r="D128" s="3">
        <v>3.7</v>
      </c>
      <c r="E128" s="3">
        <v>68.099999999999994</v>
      </c>
      <c r="F128" s="3">
        <v>1.3</v>
      </c>
      <c r="G128" s="2" t="str">
        <f t="shared" si="2"/>
        <v>Low</v>
      </c>
      <c r="H128" s="3" t="str">
        <f t="shared" si="3"/>
        <v>Teen</v>
      </c>
    </row>
    <row r="129" spans="1:8" x14ac:dyDescent="0.3">
      <c r="A129" s="3">
        <v>128</v>
      </c>
      <c r="B129" s="3">
        <v>16</v>
      </c>
      <c r="C129" s="3">
        <v>2.2999999999999998</v>
      </c>
      <c r="D129" s="3">
        <v>6.1</v>
      </c>
      <c r="E129" s="3">
        <v>73.099999999999994</v>
      </c>
      <c r="F129" s="3">
        <v>0.8</v>
      </c>
      <c r="G129" s="2" t="str">
        <f t="shared" si="2"/>
        <v>High</v>
      </c>
      <c r="H129" s="3" t="str">
        <f t="shared" si="3"/>
        <v>Teen</v>
      </c>
    </row>
    <row r="130" spans="1:8" x14ac:dyDescent="0.3">
      <c r="A130" s="3">
        <v>129</v>
      </c>
      <c r="B130" s="3">
        <v>17</v>
      </c>
      <c r="C130" s="3">
        <v>2.8</v>
      </c>
      <c r="D130" s="3">
        <v>4.7</v>
      </c>
      <c r="E130" s="3">
        <v>58.1</v>
      </c>
      <c r="F130" s="3">
        <v>1</v>
      </c>
      <c r="G130" s="2" t="str">
        <f t="shared" si="2"/>
        <v>High</v>
      </c>
      <c r="H130" s="3" t="str">
        <f t="shared" si="3"/>
        <v>Teen</v>
      </c>
    </row>
    <row r="131" spans="1:8" x14ac:dyDescent="0.3">
      <c r="A131" s="3">
        <v>130</v>
      </c>
      <c r="B131" s="3">
        <v>18</v>
      </c>
      <c r="C131" s="3">
        <v>4.7</v>
      </c>
      <c r="D131" s="3">
        <v>4.9000000000000004</v>
      </c>
      <c r="E131" s="3">
        <v>72.8</v>
      </c>
      <c r="F131" s="3">
        <v>2.1</v>
      </c>
      <c r="G131" s="2" t="str">
        <f t="shared" ref="G131:G194" si="4">IF(D131&gt;4,"High","Low")</f>
        <v>High</v>
      </c>
      <c r="H131" s="3" t="str">
        <f t="shared" ref="H131:H194" si="5">IF(B131&lt;18,"Teen","Adult")</f>
        <v>Adult</v>
      </c>
    </row>
    <row r="132" spans="1:8" x14ac:dyDescent="0.3">
      <c r="A132" s="3">
        <v>131</v>
      </c>
      <c r="B132" s="3">
        <v>15</v>
      </c>
      <c r="C132" s="3">
        <v>1.7</v>
      </c>
      <c r="D132" s="3">
        <v>1.7</v>
      </c>
      <c r="E132" s="3">
        <v>62.8</v>
      </c>
      <c r="F132" s="3">
        <v>1.7</v>
      </c>
      <c r="G132" s="2" t="str">
        <f t="shared" si="4"/>
        <v>Low</v>
      </c>
      <c r="H132" s="3" t="str">
        <f t="shared" si="5"/>
        <v>Teen</v>
      </c>
    </row>
    <row r="133" spans="1:8" x14ac:dyDescent="0.3">
      <c r="A133" s="3">
        <v>132</v>
      </c>
      <c r="B133" s="3">
        <v>17</v>
      </c>
      <c r="C133" s="3">
        <v>4.4000000000000004</v>
      </c>
      <c r="D133" s="3">
        <v>5.8</v>
      </c>
      <c r="E133" s="3">
        <v>79.099999999999994</v>
      </c>
      <c r="F133" s="3">
        <v>1.5</v>
      </c>
      <c r="G133" s="2" t="str">
        <f t="shared" si="4"/>
        <v>High</v>
      </c>
      <c r="H133" s="3" t="str">
        <f t="shared" si="5"/>
        <v>Teen</v>
      </c>
    </row>
    <row r="134" spans="1:8" x14ac:dyDescent="0.3">
      <c r="A134" s="3">
        <v>133</v>
      </c>
      <c r="B134" s="3">
        <v>16</v>
      </c>
      <c r="C134" s="3">
        <v>1.3</v>
      </c>
      <c r="D134" s="3">
        <v>4.5999999999999996</v>
      </c>
      <c r="E134" s="3">
        <v>63.3</v>
      </c>
      <c r="F134" s="3">
        <v>1.7</v>
      </c>
      <c r="G134" s="2" t="str">
        <f t="shared" si="4"/>
        <v>High</v>
      </c>
      <c r="H134" s="3" t="str">
        <f t="shared" si="5"/>
        <v>Teen</v>
      </c>
    </row>
    <row r="135" spans="1:8" x14ac:dyDescent="0.3">
      <c r="A135" s="3">
        <v>134</v>
      </c>
      <c r="B135" s="3">
        <v>17</v>
      </c>
      <c r="C135" s="3">
        <v>2.7</v>
      </c>
      <c r="D135" s="3">
        <v>1.9</v>
      </c>
      <c r="E135" s="3">
        <v>63.4</v>
      </c>
      <c r="F135" s="3">
        <v>2.2000000000000002</v>
      </c>
      <c r="G135" s="2" t="str">
        <f t="shared" si="4"/>
        <v>Low</v>
      </c>
      <c r="H135" s="3" t="str">
        <f t="shared" si="5"/>
        <v>Teen</v>
      </c>
    </row>
    <row r="136" spans="1:8" x14ac:dyDescent="0.3">
      <c r="A136" s="3">
        <v>135</v>
      </c>
      <c r="B136" s="3">
        <v>15</v>
      </c>
      <c r="C136" s="3">
        <v>2.5</v>
      </c>
      <c r="D136" s="3">
        <v>4.7</v>
      </c>
      <c r="E136" s="3">
        <v>74.5</v>
      </c>
      <c r="F136" s="3">
        <v>1.4</v>
      </c>
      <c r="G136" s="2" t="str">
        <f t="shared" si="4"/>
        <v>High</v>
      </c>
      <c r="H136" s="3" t="str">
        <f t="shared" si="5"/>
        <v>Teen</v>
      </c>
    </row>
    <row r="137" spans="1:8" x14ac:dyDescent="0.3">
      <c r="A137" s="3">
        <v>136</v>
      </c>
      <c r="B137" s="3">
        <v>15</v>
      </c>
      <c r="C137" s="3">
        <v>1.7</v>
      </c>
      <c r="D137" s="3">
        <v>0.9</v>
      </c>
      <c r="E137" s="3">
        <v>70.099999999999994</v>
      </c>
      <c r="F137" s="3">
        <v>1.5</v>
      </c>
      <c r="G137" s="2" t="str">
        <f t="shared" si="4"/>
        <v>Low</v>
      </c>
      <c r="H137" s="3" t="str">
        <f t="shared" si="5"/>
        <v>Teen</v>
      </c>
    </row>
    <row r="138" spans="1:8" x14ac:dyDescent="0.3">
      <c r="A138" s="3">
        <v>137</v>
      </c>
      <c r="B138" s="3">
        <v>16</v>
      </c>
      <c r="C138" s="3">
        <v>3.2</v>
      </c>
      <c r="D138" s="3">
        <v>7.5</v>
      </c>
      <c r="E138" s="3">
        <v>92.8</v>
      </c>
      <c r="F138" s="3">
        <v>2.4</v>
      </c>
      <c r="G138" s="2" t="str">
        <f t="shared" si="4"/>
        <v>High</v>
      </c>
      <c r="H138" s="3" t="str">
        <f t="shared" si="5"/>
        <v>Teen</v>
      </c>
    </row>
    <row r="139" spans="1:8" x14ac:dyDescent="0.3">
      <c r="A139" s="3">
        <v>138</v>
      </c>
      <c r="B139" s="3">
        <v>14</v>
      </c>
      <c r="C139" s="3">
        <v>3.1</v>
      </c>
      <c r="D139" s="3">
        <v>2.2999999999999998</v>
      </c>
      <c r="E139" s="3">
        <v>70.849999999999994</v>
      </c>
      <c r="F139" s="3">
        <v>1.2</v>
      </c>
      <c r="G139" s="2" t="str">
        <f t="shared" si="4"/>
        <v>Low</v>
      </c>
      <c r="H139" s="3" t="str">
        <f t="shared" si="5"/>
        <v>Teen</v>
      </c>
    </row>
    <row r="140" spans="1:8" x14ac:dyDescent="0.3">
      <c r="A140" s="3">
        <v>139</v>
      </c>
      <c r="B140" s="3">
        <v>14</v>
      </c>
      <c r="C140" s="3">
        <v>2</v>
      </c>
      <c r="D140" s="3">
        <v>6.4</v>
      </c>
      <c r="E140" s="3">
        <v>71.099999999999994</v>
      </c>
      <c r="F140" s="3">
        <v>2</v>
      </c>
      <c r="G140" s="2" t="str">
        <f t="shared" si="4"/>
        <v>High</v>
      </c>
      <c r="H140" s="3" t="str">
        <f t="shared" si="5"/>
        <v>Teen</v>
      </c>
    </row>
    <row r="141" spans="1:8" x14ac:dyDescent="0.3">
      <c r="A141" s="3">
        <v>140</v>
      </c>
      <c r="B141" s="3">
        <v>18</v>
      </c>
      <c r="C141" s="3">
        <v>0.4</v>
      </c>
      <c r="D141" s="3">
        <v>2.8</v>
      </c>
      <c r="E141" s="3">
        <v>81.3</v>
      </c>
      <c r="F141" s="3">
        <v>1.1000000000000001</v>
      </c>
      <c r="G141" s="2" t="str">
        <f t="shared" si="4"/>
        <v>Low</v>
      </c>
      <c r="H141" s="3" t="str">
        <f t="shared" si="5"/>
        <v>Adult</v>
      </c>
    </row>
    <row r="142" spans="1:8" x14ac:dyDescent="0.3">
      <c r="A142" s="3">
        <v>141</v>
      </c>
      <c r="B142" s="3">
        <v>13</v>
      </c>
      <c r="C142" s="3">
        <v>2.1</v>
      </c>
      <c r="D142" s="3">
        <v>4.8</v>
      </c>
      <c r="E142" s="3">
        <v>64.2</v>
      </c>
      <c r="F142" s="3">
        <v>1.2</v>
      </c>
      <c r="G142" s="2" t="str">
        <f t="shared" si="4"/>
        <v>High</v>
      </c>
      <c r="H142" s="3" t="str">
        <f t="shared" si="5"/>
        <v>Teen</v>
      </c>
    </row>
    <row r="143" spans="1:8" x14ac:dyDescent="0.3">
      <c r="A143" s="3">
        <v>142</v>
      </c>
      <c r="B143" s="3">
        <v>17</v>
      </c>
      <c r="C143" s="3">
        <v>2.6</v>
      </c>
      <c r="D143" s="3">
        <v>2.6</v>
      </c>
      <c r="E143" s="3">
        <v>60.9</v>
      </c>
      <c r="F143" s="3">
        <v>1.4</v>
      </c>
      <c r="G143" s="2" t="str">
        <f t="shared" si="4"/>
        <v>Low</v>
      </c>
      <c r="H143" s="3" t="str">
        <f t="shared" si="5"/>
        <v>Teen</v>
      </c>
    </row>
    <row r="144" spans="1:8" x14ac:dyDescent="0.3">
      <c r="A144" s="3">
        <v>143</v>
      </c>
      <c r="B144" s="3">
        <v>16</v>
      </c>
      <c r="C144" s="3">
        <v>2.5</v>
      </c>
      <c r="D144" s="3">
        <v>5.5</v>
      </c>
      <c r="E144" s="3">
        <v>61.3</v>
      </c>
      <c r="F144" s="3">
        <v>1.9</v>
      </c>
      <c r="G144" s="2" t="str">
        <f t="shared" si="4"/>
        <v>High</v>
      </c>
      <c r="H144" s="3" t="str">
        <f t="shared" si="5"/>
        <v>Teen</v>
      </c>
    </row>
    <row r="145" spans="1:8" x14ac:dyDescent="0.3">
      <c r="A145" s="3">
        <v>144</v>
      </c>
      <c r="B145" s="3">
        <v>16</v>
      </c>
      <c r="C145" s="3">
        <v>3.3</v>
      </c>
      <c r="D145" s="3">
        <v>3.6</v>
      </c>
      <c r="E145" s="3">
        <v>53.9</v>
      </c>
      <c r="F145" s="3">
        <v>2.5</v>
      </c>
      <c r="G145" s="2" t="str">
        <f t="shared" si="4"/>
        <v>Low</v>
      </c>
      <c r="H145" s="3" t="str">
        <f t="shared" si="5"/>
        <v>Teen</v>
      </c>
    </row>
    <row r="146" spans="1:8" x14ac:dyDescent="0.3">
      <c r="A146" s="3">
        <v>145</v>
      </c>
      <c r="B146" s="3">
        <v>16</v>
      </c>
      <c r="C146" s="3">
        <v>4.4000000000000004</v>
      </c>
      <c r="D146" s="3">
        <v>4.7</v>
      </c>
      <c r="E146" s="3">
        <v>83.5</v>
      </c>
      <c r="F146" s="3">
        <v>1.6</v>
      </c>
      <c r="G146" s="2" t="str">
        <f t="shared" si="4"/>
        <v>High</v>
      </c>
      <c r="H146" s="3" t="str">
        <f t="shared" si="5"/>
        <v>Teen</v>
      </c>
    </row>
    <row r="147" spans="1:8" x14ac:dyDescent="0.3">
      <c r="A147" s="3">
        <v>146</v>
      </c>
      <c r="B147" s="3">
        <v>16</v>
      </c>
      <c r="C147" s="3">
        <v>2.9</v>
      </c>
      <c r="D147" s="3">
        <v>4</v>
      </c>
      <c r="E147" s="3">
        <v>66.7</v>
      </c>
      <c r="F147" s="3">
        <v>0.3</v>
      </c>
      <c r="G147" s="2" t="str">
        <f t="shared" si="4"/>
        <v>Low</v>
      </c>
      <c r="H147" s="3" t="str">
        <f t="shared" si="5"/>
        <v>Teen</v>
      </c>
    </row>
    <row r="148" spans="1:8" x14ac:dyDescent="0.3">
      <c r="A148" s="3">
        <v>147</v>
      </c>
      <c r="B148" s="3">
        <v>16</v>
      </c>
      <c r="C148" s="3">
        <v>3.1</v>
      </c>
      <c r="D148" s="3">
        <v>2</v>
      </c>
      <c r="E148" s="3">
        <v>65.5</v>
      </c>
      <c r="F148" s="3">
        <v>2</v>
      </c>
      <c r="G148" s="2" t="str">
        <f t="shared" si="4"/>
        <v>Low</v>
      </c>
      <c r="H148" s="3" t="str">
        <f t="shared" si="5"/>
        <v>Teen</v>
      </c>
    </row>
    <row r="149" spans="1:8" x14ac:dyDescent="0.3">
      <c r="A149" s="3">
        <v>148</v>
      </c>
      <c r="B149" s="3">
        <v>15</v>
      </c>
      <c r="C149" s="3">
        <v>2.6</v>
      </c>
      <c r="D149" s="3">
        <v>4.8</v>
      </c>
      <c r="E149" s="3">
        <v>48.8</v>
      </c>
      <c r="F149" s="3">
        <v>3.5</v>
      </c>
      <c r="G149" s="2" t="str">
        <f t="shared" si="4"/>
        <v>High</v>
      </c>
      <c r="H149" s="3" t="str">
        <f t="shared" si="5"/>
        <v>Teen</v>
      </c>
    </row>
    <row r="150" spans="1:8" x14ac:dyDescent="0.3">
      <c r="A150" s="3">
        <v>149</v>
      </c>
      <c r="B150" s="3">
        <v>14</v>
      </c>
      <c r="C150" s="3">
        <v>3.7</v>
      </c>
      <c r="D150" s="3">
        <v>3.2</v>
      </c>
      <c r="E150" s="3">
        <v>55.7</v>
      </c>
      <c r="F150" s="3">
        <v>1.6</v>
      </c>
      <c r="G150" s="2" t="str">
        <f t="shared" si="4"/>
        <v>Low</v>
      </c>
      <c r="H150" s="3" t="str">
        <f t="shared" si="5"/>
        <v>Teen</v>
      </c>
    </row>
    <row r="151" spans="1:8" x14ac:dyDescent="0.3">
      <c r="A151" s="3">
        <v>150</v>
      </c>
      <c r="B151" s="3">
        <v>16</v>
      </c>
      <c r="C151" s="3">
        <v>3</v>
      </c>
      <c r="D151" s="3">
        <v>5.6</v>
      </c>
      <c r="E151" s="3">
        <v>84.7</v>
      </c>
      <c r="F151" s="3">
        <v>0.1</v>
      </c>
      <c r="G151" s="2" t="str">
        <f t="shared" si="4"/>
        <v>High</v>
      </c>
      <c r="H151" s="3" t="str">
        <f t="shared" si="5"/>
        <v>Teen</v>
      </c>
    </row>
    <row r="152" spans="1:8" x14ac:dyDescent="0.3">
      <c r="A152" s="3">
        <v>151</v>
      </c>
      <c r="B152" s="3">
        <v>13</v>
      </c>
      <c r="C152" s="3">
        <v>3.2</v>
      </c>
      <c r="D152" s="3">
        <v>3.6</v>
      </c>
      <c r="E152" s="3">
        <v>73</v>
      </c>
      <c r="F152" s="3">
        <v>1.6</v>
      </c>
      <c r="G152" s="2" t="str">
        <f t="shared" si="4"/>
        <v>Low</v>
      </c>
      <c r="H152" s="3" t="str">
        <f t="shared" si="5"/>
        <v>Teen</v>
      </c>
    </row>
    <row r="153" spans="1:8" x14ac:dyDescent="0.3">
      <c r="A153" s="3">
        <v>152</v>
      </c>
      <c r="B153" s="3">
        <v>13</v>
      </c>
      <c r="C153" s="3">
        <v>4.3</v>
      </c>
      <c r="D153" s="3">
        <v>3.9</v>
      </c>
      <c r="E153" s="3">
        <v>81.7</v>
      </c>
      <c r="F153" s="3">
        <v>1.5</v>
      </c>
      <c r="G153" s="2" t="str">
        <f t="shared" si="4"/>
        <v>Low</v>
      </c>
      <c r="H153" s="3" t="str">
        <f t="shared" si="5"/>
        <v>Teen</v>
      </c>
    </row>
    <row r="154" spans="1:8" x14ac:dyDescent="0.3">
      <c r="A154" s="3">
        <v>153</v>
      </c>
      <c r="B154" s="3">
        <v>13</v>
      </c>
      <c r="C154" s="3">
        <v>2.7</v>
      </c>
      <c r="D154" s="3">
        <v>6.5</v>
      </c>
      <c r="E154" s="3">
        <v>80.400000000000006</v>
      </c>
      <c r="F154" s="3">
        <v>1.4</v>
      </c>
      <c r="G154" s="2" t="str">
        <f t="shared" si="4"/>
        <v>High</v>
      </c>
      <c r="H154" s="3" t="str">
        <f t="shared" si="5"/>
        <v>Teen</v>
      </c>
    </row>
    <row r="155" spans="1:8" x14ac:dyDescent="0.3">
      <c r="A155" s="3">
        <v>154</v>
      </c>
      <c r="B155" s="3">
        <v>13</v>
      </c>
      <c r="C155" s="3">
        <v>2.2000000000000002</v>
      </c>
      <c r="D155" s="3">
        <v>7.6</v>
      </c>
      <c r="E155" s="3">
        <v>60</v>
      </c>
      <c r="F155" s="3">
        <v>2.2999999999999998</v>
      </c>
      <c r="G155" s="2" t="str">
        <f t="shared" si="4"/>
        <v>High</v>
      </c>
      <c r="H155" s="3" t="str">
        <f t="shared" si="5"/>
        <v>Teen</v>
      </c>
    </row>
    <row r="156" spans="1:8" x14ac:dyDescent="0.3">
      <c r="A156" s="3">
        <v>155</v>
      </c>
      <c r="B156" s="3">
        <v>15</v>
      </c>
      <c r="C156" s="3">
        <v>2.9</v>
      </c>
      <c r="D156" s="3">
        <v>5.2</v>
      </c>
      <c r="E156" s="3">
        <v>94.3</v>
      </c>
      <c r="F156" s="3">
        <v>2.6</v>
      </c>
      <c r="G156" s="2" t="str">
        <f t="shared" si="4"/>
        <v>High</v>
      </c>
      <c r="H156" s="3" t="str">
        <f t="shared" si="5"/>
        <v>Teen</v>
      </c>
    </row>
    <row r="157" spans="1:8" x14ac:dyDescent="0.3">
      <c r="A157" s="3">
        <v>156</v>
      </c>
      <c r="B157" s="3">
        <v>13</v>
      </c>
      <c r="C157" s="3">
        <v>3.6</v>
      </c>
      <c r="D157" s="3">
        <v>3.6</v>
      </c>
      <c r="E157" s="3">
        <v>89.5</v>
      </c>
      <c r="F157" s="3">
        <v>2</v>
      </c>
      <c r="G157" s="2" t="str">
        <f t="shared" si="4"/>
        <v>Low</v>
      </c>
      <c r="H157" s="3" t="str">
        <f t="shared" si="5"/>
        <v>Teen</v>
      </c>
    </row>
    <row r="158" spans="1:8" x14ac:dyDescent="0.3">
      <c r="A158" s="3">
        <v>157</v>
      </c>
      <c r="B158" s="3">
        <v>16</v>
      </c>
      <c r="C158" s="3">
        <v>3</v>
      </c>
      <c r="D158" s="3">
        <v>3.4</v>
      </c>
      <c r="E158" s="3">
        <v>64.400000000000006</v>
      </c>
      <c r="F158" s="3">
        <v>1.4</v>
      </c>
      <c r="G158" s="2" t="str">
        <f t="shared" si="4"/>
        <v>Low</v>
      </c>
      <c r="H158" s="3" t="str">
        <f t="shared" si="5"/>
        <v>Teen</v>
      </c>
    </row>
    <row r="159" spans="1:8" x14ac:dyDescent="0.3">
      <c r="A159" s="3">
        <v>158</v>
      </c>
      <c r="B159" s="3">
        <v>17</v>
      </c>
      <c r="C159" s="3">
        <v>3.6</v>
      </c>
      <c r="D159" s="3">
        <v>2.8</v>
      </c>
      <c r="E159" s="3">
        <v>34.299999999999997</v>
      </c>
      <c r="F159" s="3">
        <v>2.4</v>
      </c>
      <c r="G159" s="2" t="str">
        <f t="shared" si="4"/>
        <v>Low</v>
      </c>
      <c r="H159" s="3" t="str">
        <f t="shared" si="5"/>
        <v>Teen</v>
      </c>
    </row>
    <row r="160" spans="1:8" x14ac:dyDescent="0.3">
      <c r="A160" s="3">
        <v>159</v>
      </c>
      <c r="B160" s="3">
        <v>13</v>
      </c>
      <c r="C160" s="3">
        <v>1.8</v>
      </c>
      <c r="D160" s="3">
        <v>3.1</v>
      </c>
      <c r="E160" s="3">
        <v>66.400000000000006</v>
      </c>
      <c r="F160" s="3">
        <v>0.3</v>
      </c>
      <c r="G160" s="2" t="str">
        <f t="shared" si="4"/>
        <v>Low</v>
      </c>
      <c r="H160" s="3" t="str">
        <f t="shared" si="5"/>
        <v>Teen</v>
      </c>
    </row>
    <row r="161" spans="1:8" x14ac:dyDescent="0.3">
      <c r="A161" s="3">
        <v>160</v>
      </c>
      <c r="B161" s="3">
        <v>15</v>
      </c>
      <c r="C161" s="3">
        <v>1.6</v>
      </c>
      <c r="D161" s="3">
        <v>3.6</v>
      </c>
      <c r="E161" s="3">
        <v>72.400000000000006</v>
      </c>
      <c r="F161" s="3">
        <v>0.9</v>
      </c>
      <c r="G161" s="2" t="str">
        <f t="shared" si="4"/>
        <v>Low</v>
      </c>
      <c r="H161" s="3" t="str">
        <f t="shared" si="5"/>
        <v>Teen</v>
      </c>
    </row>
    <row r="162" spans="1:8" x14ac:dyDescent="0.3">
      <c r="A162" s="3">
        <v>161</v>
      </c>
      <c r="B162" s="3">
        <v>15</v>
      </c>
      <c r="C162" s="3">
        <v>2</v>
      </c>
      <c r="D162" s="3">
        <v>6.9</v>
      </c>
      <c r="E162" s="3">
        <v>64.3</v>
      </c>
      <c r="F162" s="3">
        <v>1</v>
      </c>
      <c r="G162" s="2" t="str">
        <f t="shared" si="4"/>
        <v>High</v>
      </c>
      <c r="H162" s="3" t="str">
        <f t="shared" si="5"/>
        <v>Teen</v>
      </c>
    </row>
    <row r="163" spans="1:8" x14ac:dyDescent="0.3">
      <c r="A163" s="3">
        <v>162</v>
      </c>
      <c r="B163" s="3">
        <v>13</v>
      </c>
      <c r="C163" s="3">
        <v>1.2</v>
      </c>
      <c r="D163" s="3">
        <v>3.7</v>
      </c>
      <c r="E163" s="3">
        <v>67.8</v>
      </c>
      <c r="F163" s="3">
        <v>1.5</v>
      </c>
      <c r="G163" s="2" t="str">
        <f t="shared" si="4"/>
        <v>Low</v>
      </c>
      <c r="H163" s="3" t="str">
        <f t="shared" si="5"/>
        <v>Teen</v>
      </c>
    </row>
    <row r="164" spans="1:8" x14ac:dyDescent="0.3">
      <c r="A164" s="3">
        <v>163</v>
      </c>
      <c r="B164" s="3">
        <v>18</v>
      </c>
      <c r="C164" s="3">
        <v>2.6</v>
      </c>
      <c r="D164" s="3">
        <v>2.2000000000000002</v>
      </c>
      <c r="E164" s="3">
        <v>61.7</v>
      </c>
      <c r="F164" s="3">
        <v>1.9</v>
      </c>
      <c r="G164" s="2" t="str">
        <f t="shared" si="4"/>
        <v>Low</v>
      </c>
      <c r="H164" s="3" t="str">
        <f t="shared" si="5"/>
        <v>Adult</v>
      </c>
    </row>
    <row r="165" spans="1:8" x14ac:dyDescent="0.3">
      <c r="A165" s="3">
        <v>164</v>
      </c>
      <c r="B165" s="3">
        <v>13</v>
      </c>
      <c r="C165" s="3">
        <v>2.1</v>
      </c>
      <c r="D165" s="3">
        <v>4.0999999999999996</v>
      </c>
      <c r="E165" s="3">
        <v>79.2</v>
      </c>
      <c r="F165" s="3">
        <v>1.3</v>
      </c>
      <c r="G165" s="2" t="str">
        <f t="shared" si="4"/>
        <v>High</v>
      </c>
      <c r="H165" s="3" t="str">
        <f t="shared" si="5"/>
        <v>Teen</v>
      </c>
    </row>
    <row r="166" spans="1:8" x14ac:dyDescent="0.3">
      <c r="A166" s="3">
        <v>165</v>
      </c>
      <c r="B166" s="3">
        <v>15</v>
      </c>
      <c r="C166" s="3">
        <v>3.7</v>
      </c>
      <c r="D166" s="3">
        <v>4.3</v>
      </c>
      <c r="E166" s="3">
        <v>70.599999999999994</v>
      </c>
      <c r="F166" s="3">
        <v>0.8</v>
      </c>
      <c r="G166" s="2" t="str">
        <f t="shared" si="4"/>
        <v>High</v>
      </c>
      <c r="H166" s="3" t="str">
        <f t="shared" si="5"/>
        <v>Teen</v>
      </c>
    </row>
    <row r="167" spans="1:8" x14ac:dyDescent="0.3">
      <c r="A167" s="3">
        <v>166</v>
      </c>
      <c r="B167" s="3">
        <v>14</v>
      </c>
      <c r="C167" s="3">
        <v>1.2</v>
      </c>
      <c r="D167" s="3">
        <v>4.0999999999999996</v>
      </c>
      <c r="E167" s="3">
        <v>79.5</v>
      </c>
      <c r="F167" s="3">
        <v>2.2999999999999998</v>
      </c>
      <c r="G167" s="2" t="str">
        <f t="shared" si="4"/>
        <v>High</v>
      </c>
      <c r="H167" s="3" t="str">
        <f t="shared" si="5"/>
        <v>Teen</v>
      </c>
    </row>
    <row r="168" spans="1:8" x14ac:dyDescent="0.3">
      <c r="A168" s="3">
        <v>167</v>
      </c>
      <c r="B168" s="3">
        <v>16</v>
      </c>
      <c r="C168" s="3">
        <v>4.0999999999999996</v>
      </c>
      <c r="D168" s="3">
        <v>5.2</v>
      </c>
      <c r="E168" s="3">
        <v>82.2</v>
      </c>
      <c r="F168" s="3">
        <v>1.3</v>
      </c>
      <c r="G168" s="2" t="str">
        <f t="shared" si="4"/>
        <v>High</v>
      </c>
      <c r="H168" s="3" t="str">
        <f t="shared" si="5"/>
        <v>Teen</v>
      </c>
    </row>
    <row r="169" spans="1:8" x14ac:dyDescent="0.3">
      <c r="A169" s="3">
        <v>168</v>
      </c>
      <c r="B169" s="3">
        <v>15</v>
      </c>
      <c r="C169" s="3">
        <v>1.5</v>
      </c>
      <c r="D169" s="3">
        <v>4.0999999999999996</v>
      </c>
      <c r="E169" s="3">
        <v>48.3</v>
      </c>
      <c r="F169" s="3">
        <v>1.6</v>
      </c>
      <c r="G169" s="2" t="str">
        <f t="shared" si="4"/>
        <v>High</v>
      </c>
      <c r="H169" s="3" t="str">
        <f t="shared" si="5"/>
        <v>Teen</v>
      </c>
    </row>
    <row r="170" spans="1:8" x14ac:dyDescent="0.3">
      <c r="A170" s="3">
        <v>169</v>
      </c>
      <c r="B170" s="3">
        <v>13</v>
      </c>
      <c r="C170" s="3">
        <v>1.3</v>
      </c>
      <c r="D170" s="3">
        <v>5.2</v>
      </c>
      <c r="E170" s="3">
        <v>62.3</v>
      </c>
      <c r="F170" s="3">
        <v>1.9</v>
      </c>
      <c r="G170" s="2" t="str">
        <f t="shared" si="4"/>
        <v>High</v>
      </c>
      <c r="H170" s="3" t="str">
        <f t="shared" si="5"/>
        <v>Teen</v>
      </c>
    </row>
    <row r="171" spans="1:8" x14ac:dyDescent="0.3">
      <c r="A171" s="3">
        <v>170</v>
      </c>
      <c r="B171" s="3">
        <v>16</v>
      </c>
      <c r="C171" s="3">
        <v>1.7</v>
      </c>
      <c r="D171" s="3">
        <v>2.8</v>
      </c>
      <c r="E171" s="3">
        <v>63.8</v>
      </c>
      <c r="F171" s="3">
        <v>1.5</v>
      </c>
      <c r="G171" s="2" t="str">
        <f t="shared" si="4"/>
        <v>Low</v>
      </c>
      <c r="H171" s="3" t="str">
        <f t="shared" si="5"/>
        <v>Teen</v>
      </c>
    </row>
    <row r="172" spans="1:8" x14ac:dyDescent="0.3">
      <c r="A172" s="3">
        <v>171</v>
      </c>
      <c r="B172" s="3">
        <v>13</v>
      </c>
      <c r="C172" s="3">
        <v>4.5</v>
      </c>
      <c r="D172" s="3">
        <v>4</v>
      </c>
      <c r="E172" s="3">
        <v>95.7</v>
      </c>
      <c r="F172" s="3">
        <v>1.5</v>
      </c>
      <c r="G172" s="2" t="str">
        <f t="shared" si="4"/>
        <v>Low</v>
      </c>
      <c r="H172" s="3" t="str">
        <f t="shared" si="5"/>
        <v>Teen</v>
      </c>
    </row>
    <row r="173" spans="1:8" x14ac:dyDescent="0.3">
      <c r="A173" s="3">
        <v>172</v>
      </c>
      <c r="B173" s="3">
        <v>13</v>
      </c>
      <c r="C173" s="3">
        <v>2.5</v>
      </c>
      <c r="D173" s="3">
        <v>4.4000000000000004</v>
      </c>
      <c r="E173" s="3">
        <v>71.5</v>
      </c>
      <c r="F173" s="3">
        <v>2.2999999999999998</v>
      </c>
      <c r="G173" s="2" t="str">
        <f t="shared" si="4"/>
        <v>High</v>
      </c>
      <c r="H173" s="3" t="str">
        <f t="shared" si="5"/>
        <v>Teen</v>
      </c>
    </row>
    <row r="174" spans="1:8" x14ac:dyDescent="0.3">
      <c r="A174" s="3">
        <v>173</v>
      </c>
      <c r="B174" s="3">
        <v>14</v>
      </c>
      <c r="C174" s="3">
        <v>3</v>
      </c>
      <c r="D174" s="3">
        <v>4.5999999999999996</v>
      </c>
      <c r="E174" s="3">
        <v>70.849999999999994</v>
      </c>
      <c r="F174" s="3">
        <v>1.6</v>
      </c>
      <c r="G174" s="2" t="str">
        <f t="shared" si="4"/>
        <v>High</v>
      </c>
      <c r="H174" s="3" t="str">
        <f t="shared" si="5"/>
        <v>Teen</v>
      </c>
    </row>
    <row r="175" spans="1:8" x14ac:dyDescent="0.3">
      <c r="A175" s="3">
        <v>174</v>
      </c>
      <c r="B175" s="3">
        <v>16</v>
      </c>
      <c r="C175" s="3">
        <v>2.2999999999999998</v>
      </c>
      <c r="D175" s="3">
        <v>2.8</v>
      </c>
      <c r="E175" s="3">
        <v>51.2</v>
      </c>
      <c r="F175" s="3">
        <v>2.2000000000000002</v>
      </c>
      <c r="G175" s="2" t="str">
        <f t="shared" si="4"/>
        <v>Low</v>
      </c>
      <c r="H175" s="3" t="str">
        <f t="shared" si="5"/>
        <v>Teen</v>
      </c>
    </row>
    <row r="176" spans="1:8" x14ac:dyDescent="0.3">
      <c r="A176" s="3">
        <v>175</v>
      </c>
      <c r="B176" s="3">
        <v>16</v>
      </c>
      <c r="C176" s="3">
        <v>2.4</v>
      </c>
      <c r="D176" s="3">
        <v>4.7</v>
      </c>
      <c r="E176" s="3">
        <v>71.400000000000006</v>
      </c>
      <c r="F176" s="3">
        <v>1.9</v>
      </c>
      <c r="G176" s="2" t="str">
        <f t="shared" si="4"/>
        <v>High</v>
      </c>
      <c r="H176" s="3" t="str">
        <f t="shared" si="5"/>
        <v>Teen</v>
      </c>
    </row>
    <row r="177" spans="1:8" x14ac:dyDescent="0.3">
      <c r="A177" s="3">
        <v>176</v>
      </c>
      <c r="B177" s="3">
        <v>14</v>
      </c>
      <c r="C177" s="3">
        <v>2</v>
      </c>
      <c r="D177" s="3">
        <v>5</v>
      </c>
      <c r="E177" s="3">
        <v>79.8</v>
      </c>
      <c r="F177" s="3">
        <v>3.1</v>
      </c>
      <c r="G177" s="2" t="str">
        <f t="shared" si="4"/>
        <v>High</v>
      </c>
      <c r="H177" s="3" t="str">
        <f t="shared" si="5"/>
        <v>Teen</v>
      </c>
    </row>
    <row r="178" spans="1:8" x14ac:dyDescent="0.3">
      <c r="A178" s="3">
        <v>177</v>
      </c>
      <c r="B178" s="3">
        <v>15</v>
      </c>
      <c r="C178" s="3">
        <v>2.6</v>
      </c>
      <c r="D178" s="3">
        <v>2.2000000000000002</v>
      </c>
      <c r="E178" s="3">
        <v>78.599999999999994</v>
      </c>
      <c r="F178" s="3">
        <v>1.8</v>
      </c>
      <c r="G178" s="2" t="str">
        <f t="shared" si="4"/>
        <v>Low</v>
      </c>
      <c r="H178" s="3" t="str">
        <f t="shared" si="5"/>
        <v>Teen</v>
      </c>
    </row>
    <row r="179" spans="1:8" x14ac:dyDescent="0.3">
      <c r="A179" s="3">
        <v>178</v>
      </c>
      <c r="B179" s="3">
        <v>13</v>
      </c>
      <c r="C179" s="3">
        <v>3</v>
      </c>
      <c r="D179" s="3">
        <v>1.5</v>
      </c>
      <c r="E179" s="3">
        <v>76.2</v>
      </c>
      <c r="F179" s="3">
        <v>2</v>
      </c>
      <c r="G179" s="2" t="str">
        <f t="shared" si="4"/>
        <v>Low</v>
      </c>
      <c r="H179" s="3" t="str">
        <f t="shared" si="5"/>
        <v>Teen</v>
      </c>
    </row>
    <row r="180" spans="1:8" x14ac:dyDescent="0.3">
      <c r="A180" s="3">
        <v>179</v>
      </c>
      <c r="B180" s="3">
        <v>17</v>
      </c>
      <c r="C180" s="3">
        <v>4.2</v>
      </c>
      <c r="D180" s="3">
        <v>4.4000000000000004</v>
      </c>
      <c r="E180" s="3">
        <v>70.099999999999994</v>
      </c>
      <c r="F180" s="3">
        <v>2.4</v>
      </c>
      <c r="G180" s="2" t="str">
        <f t="shared" si="4"/>
        <v>High</v>
      </c>
      <c r="H180" s="3" t="str">
        <f t="shared" si="5"/>
        <v>Teen</v>
      </c>
    </row>
    <row r="181" spans="1:8" x14ac:dyDescent="0.3">
      <c r="A181" s="3">
        <v>180</v>
      </c>
      <c r="B181" s="3">
        <v>13</v>
      </c>
      <c r="C181" s="3">
        <v>0.6</v>
      </c>
      <c r="D181" s="3">
        <v>3.3</v>
      </c>
      <c r="E181" s="3">
        <v>70.599999999999994</v>
      </c>
      <c r="F181" s="3">
        <v>1.6</v>
      </c>
      <c r="G181" s="2" t="str">
        <f t="shared" si="4"/>
        <v>Low</v>
      </c>
      <c r="H181" s="3" t="str">
        <f t="shared" si="5"/>
        <v>Teen</v>
      </c>
    </row>
    <row r="182" spans="1:8" x14ac:dyDescent="0.3">
      <c r="A182" s="3">
        <v>181</v>
      </c>
      <c r="B182" s="3">
        <v>13</v>
      </c>
      <c r="C182" s="3">
        <v>4.0999999999999996</v>
      </c>
      <c r="D182" s="3">
        <v>4.4000000000000004</v>
      </c>
      <c r="E182" s="3">
        <v>53.1</v>
      </c>
      <c r="F182" s="3">
        <v>1</v>
      </c>
      <c r="G182" s="2" t="str">
        <f t="shared" si="4"/>
        <v>High</v>
      </c>
      <c r="H182" s="3" t="str">
        <f t="shared" si="5"/>
        <v>Teen</v>
      </c>
    </row>
    <row r="183" spans="1:8" x14ac:dyDescent="0.3">
      <c r="A183" s="3">
        <v>182</v>
      </c>
      <c r="B183" s="3">
        <v>15</v>
      </c>
      <c r="C183" s="3">
        <v>3</v>
      </c>
      <c r="D183" s="3">
        <v>2.1</v>
      </c>
      <c r="E183" s="3">
        <v>61</v>
      </c>
      <c r="F183" s="3">
        <v>1.1000000000000001</v>
      </c>
      <c r="G183" s="2" t="str">
        <f t="shared" si="4"/>
        <v>Low</v>
      </c>
      <c r="H183" s="3" t="str">
        <f t="shared" si="5"/>
        <v>Teen</v>
      </c>
    </row>
    <row r="184" spans="1:8" x14ac:dyDescent="0.3">
      <c r="A184" s="3">
        <v>183</v>
      </c>
      <c r="B184" s="3">
        <v>13</v>
      </c>
      <c r="C184" s="3">
        <v>2.1</v>
      </c>
      <c r="D184" s="3">
        <v>1.7</v>
      </c>
      <c r="E184" s="3">
        <v>72.3</v>
      </c>
      <c r="F184" s="3">
        <v>1.1000000000000001</v>
      </c>
      <c r="G184" s="2" t="str">
        <f t="shared" si="4"/>
        <v>Low</v>
      </c>
      <c r="H184" s="3" t="str">
        <f t="shared" si="5"/>
        <v>Teen</v>
      </c>
    </row>
    <row r="185" spans="1:8" x14ac:dyDescent="0.3">
      <c r="A185" s="3">
        <v>184</v>
      </c>
      <c r="B185" s="3">
        <v>14</v>
      </c>
      <c r="C185" s="3">
        <v>2</v>
      </c>
      <c r="D185" s="3">
        <v>4.3</v>
      </c>
      <c r="E185" s="3">
        <v>62.8</v>
      </c>
      <c r="F185" s="3">
        <v>0.7</v>
      </c>
      <c r="G185" s="2" t="str">
        <f t="shared" si="4"/>
        <v>High</v>
      </c>
      <c r="H185" s="3" t="str">
        <f t="shared" si="5"/>
        <v>Teen</v>
      </c>
    </row>
    <row r="186" spans="1:8" x14ac:dyDescent="0.3">
      <c r="A186" s="3">
        <v>185</v>
      </c>
      <c r="B186" s="3">
        <v>14</v>
      </c>
      <c r="C186" s="3">
        <v>3.5</v>
      </c>
      <c r="D186" s="3">
        <v>3.5</v>
      </c>
      <c r="E186" s="3">
        <v>76.900000000000006</v>
      </c>
      <c r="F186" s="3">
        <v>1.8</v>
      </c>
      <c r="G186" s="2" t="str">
        <f t="shared" si="4"/>
        <v>Low</v>
      </c>
      <c r="H186" s="3" t="str">
        <f t="shared" si="5"/>
        <v>Teen</v>
      </c>
    </row>
    <row r="187" spans="1:8" x14ac:dyDescent="0.3">
      <c r="A187" s="3">
        <v>186</v>
      </c>
      <c r="B187" s="3">
        <v>16</v>
      </c>
      <c r="C187" s="3">
        <v>2.7</v>
      </c>
      <c r="D187" s="3">
        <v>4</v>
      </c>
      <c r="E187" s="3">
        <v>74.7</v>
      </c>
      <c r="F187" s="3">
        <v>1</v>
      </c>
      <c r="G187" s="2" t="str">
        <f t="shared" si="4"/>
        <v>Low</v>
      </c>
      <c r="H187" s="3" t="str">
        <f t="shared" si="5"/>
        <v>Teen</v>
      </c>
    </row>
    <row r="188" spans="1:8" x14ac:dyDescent="0.3">
      <c r="A188" s="3">
        <v>187</v>
      </c>
      <c r="B188" s="3">
        <v>18</v>
      </c>
      <c r="C188" s="3">
        <v>1</v>
      </c>
      <c r="D188" s="3">
        <v>6</v>
      </c>
      <c r="E188" s="3">
        <v>83.7</v>
      </c>
      <c r="F188" s="3">
        <v>1.7</v>
      </c>
      <c r="G188" s="2" t="str">
        <f t="shared" si="4"/>
        <v>High</v>
      </c>
      <c r="H188" s="3" t="str">
        <f t="shared" si="5"/>
        <v>Adult</v>
      </c>
    </row>
    <row r="189" spans="1:8" x14ac:dyDescent="0.3">
      <c r="A189" s="3">
        <v>188</v>
      </c>
      <c r="B189" s="3">
        <v>13</v>
      </c>
      <c r="C189" s="3">
        <v>2.9</v>
      </c>
      <c r="D189" s="3">
        <v>2</v>
      </c>
      <c r="E189" s="3">
        <v>79.599999999999994</v>
      </c>
      <c r="F189" s="3">
        <v>1.4</v>
      </c>
      <c r="G189" s="2" t="str">
        <f t="shared" si="4"/>
        <v>Low</v>
      </c>
      <c r="H189" s="3" t="str">
        <f t="shared" si="5"/>
        <v>Teen</v>
      </c>
    </row>
    <row r="190" spans="1:8" x14ac:dyDescent="0.3">
      <c r="A190" s="3">
        <v>189</v>
      </c>
      <c r="B190" s="3">
        <v>13</v>
      </c>
      <c r="C190" s="3">
        <v>3.6</v>
      </c>
      <c r="D190" s="3">
        <v>7.9</v>
      </c>
      <c r="E190" s="3">
        <v>72.3</v>
      </c>
      <c r="F190" s="3">
        <v>1.5</v>
      </c>
      <c r="G190" s="2" t="str">
        <f t="shared" si="4"/>
        <v>High</v>
      </c>
      <c r="H190" s="3" t="str">
        <f t="shared" si="5"/>
        <v>Teen</v>
      </c>
    </row>
    <row r="191" spans="1:8" x14ac:dyDescent="0.3">
      <c r="A191" s="3">
        <v>190</v>
      </c>
      <c r="B191" s="3">
        <v>15</v>
      </c>
      <c r="C191" s="3">
        <v>3.4</v>
      </c>
      <c r="D191" s="3">
        <v>3.1</v>
      </c>
      <c r="E191" s="3">
        <v>77.5</v>
      </c>
      <c r="F191" s="3">
        <v>1.9</v>
      </c>
      <c r="G191" s="2" t="str">
        <f t="shared" si="4"/>
        <v>Low</v>
      </c>
      <c r="H191" s="3" t="str">
        <f t="shared" si="5"/>
        <v>Teen</v>
      </c>
    </row>
    <row r="192" spans="1:8" x14ac:dyDescent="0.3">
      <c r="A192" s="3">
        <v>191</v>
      </c>
      <c r="B192" s="3">
        <v>14</v>
      </c>
      <c r="C192" s="3">
        <v>1.9</v>
      </c>
      <c r="D192" s="3">
        <v>4.5999999999999996</v>
      </c>
      <c r="E192" s="3">
        <v>80.099999999999994</v>
      </c>
      <c r="F192" s="3">
        <v>1.1000000000000001</v>
      </c>
      <c r="G192" s="2" t="str">
        <f t="shared" si="4"/>
        <v>High</v>
      </c>
      <c r="H192" s="3" t="str">
        <f t="shared" si="5"/>
        <v>Teen</v>
      </c>
    </row>
    <row r="193" spans="1:8" x14ac:dyDescent="0.3">
      <c r="A193" s="3">
        <v>192</v>
      </c>
      <c r="B193" s="3">
        <v>18</v>
      </c>
      <c r="C193" s="3">
        <v>1.2</v>
      </c>
      <c r="D193" s="3">
        <v>6.5</v>
      </c>
      <c r="E193" s="3">
        <v>64.900000000000006</v>
      </c>
      <c r="F193" s="3">
        <v>2</v>
      </c>
      <c r="G193" s="2" t="str">
        <f t="shared" si="4"/>
        <v>High</v>
      </c>
      <c r="H193" s="3" t="str">
        <f t="shared" si="5"/>
        <v>Adult</v>
      </c>
    </row>
    <row r="194" spans="1:8" x14ac:dyDescent="0.3">
      <c r="A194" s="3">
        <v>193</v>
      </c>
      <c r="B194" s="3">
        <v>16</v>
      </c>
      <c r="C194" s="3">
        <v>2.2000000000000002</v>
      </c>
      <c r="D194" s="3">
        <v>6.2</v>
      </c>
      <c r="E194" s="3">
        <v>66.7</v>
      </c>
      <c r="F194" s="3">
        <v>2.8</v>
      </c>
      <c r="G194" s="2" t="str">
        <f t="shared" si="4"/>
        <v>High</v>
      </c>
      <c r="H194" s="3" t="str">
        <f t="shared" si="5"/>
        <v>Teen</v>
      </c>
    </row>
    <row r="195" spans="1:8" x14ac:dyDescent="0.3">
      <c r="A195" s="3">
        <v>194</v>
      </c>
      <c r="B195" s="3">
        <v>14</v>
      </c>
      <c r="C195" s="3">
        <v>5.8</v>
      </c>
      <c r="D195" s="3">
        <v>7</v>
      </c>
      <c r="E195" s="3">
        <v>69</v>
      </c>
      <c r="F195" s="3">
        <v>1.8</v>
      </c>
      <c r="G195" s="2" t="str">
        <f t="shared" ref="G195:G201" si="6">IF(D195&gt;4,"High","Low")</f>
        <v>High</v>
      </c>
      <c r="H195" s="3" t="str">
        <f t="shared" ref="H195:H201" si="7">IF(B195&lt;18,"Teen","Adult")</f>
        <v>Teen</v>
      </c>
    </row>
    <row r="196" spans="1:8" x14ac:dyDescent="0.3">
      <c r="A196" s="3">
        <v>195</v>
      </c>
      <c r="B196" s="3">
        <v>16</v>
      </c>
      <c r="C196" s="3">
        <v>1</v>
      </c>
      <c r="D196" s="3">
        <v>1.7</v>
      </c>
      <c r="E196" s="3">
        <v>65.2</v>
      </c>
      <c r="F196" s="3">
        <v>0.9</v>
      </c>
      <c r="G196" s="2" t="str">
        <f t="shared" si="6"/>
        <v>Low</v>
      </c>
      <c r="H196" s="3" t="str">
        <f t="shared" si="7"/>
        <v>Teen</v>
      </c>
    </row>
    <row r="197" spans="1:8" x14ac:dyDescent="0.3">
      <c r="A197" s="3">
        <v>196</v>
      </c>
      <c r="B197" s="3">
        <v>15</v>
      </c>
      <c r="C197" s="3">
        <v>1.7</v>
      </c>
      <c r="D197" s="3">
        <v>2.2999999999999998</v>
      </c>
      <c r="E197" s="3">
        <v>80.2</v>
      </c>
      <c r="F197" s="3">
        <v>1</v>
      </c>
      <c r="G197" s="2" t="str">
        <f t="shared" si="6"/>
        <v>Low</v>
      </c>
      <c r="H197" s="3" t="str">
        <f t="shared" si="7"/>
        <v>Teen</v>
      </c>
    </row>
    <row r="198" spans="1:8" x14ac:dyDescent="0.3">
      <c r="A198" s="3">
        <v>197</v>
      </c>
      <c r="B198" s="3">
        <v>15</v>
      </c>
      <c r="C198" s="3">
        <v>2.9</v>
      </c>
      <c r="D198" s="3">
        <v>4.3</v>
      </c>
      <c r="E198" s="3">
        <v>63.7</v>
      </c>
      <c r="F198" s="3">
        <v>1.3</v>
      </c>
      <c r="G198" s="2" t="str">
        <f t="shared" si="6"/>
        <v>High</v>
      </c>
      <c r="H198" s="3" t="str">
        <f t="shared" si="7"/>
        <v>Teen</v>
      </c>
    </row>
    <row r="199" spans="1:8" x14ac:dyDescent="0.3">
      <c r="A199" s="3">
        <v>198</v>
      </c>
      <c r="B199" s="3">
        <v>13</v>
      </c>
      <c r="C199" s="3">
        <v>2.4</v>
      </c>
      <c r="D199" s="3">
        <v>5.3</v>
      </c>
      <c r="E199" s="3">
        <v>82.5</v>
      </c>
      <c r="F199" s="3">
        <v>1</v>
      </c>
      <c r="G199" s="2" t="str">
        <f t="shared" si="6"/>
        <v>High</v>
      </c>
      <c r="H199" s="3" t="str">
        <f t="shared" si="7"/>
        <v>Teen</v>
      </c>
    </row>
    <row r="200" spans="1:8" x14ac:dyDescent="0.3">
      <c r="A200" s="3">
        <v>199</v>
      </c>
      <c r="B200" s="3">
        <v>17</v>
      </c>
      <c r="C200" s="3">
        <v>2.2999999999999998</v>
      </c>
      <c r="D200" s="3">
        <v>4</v>
      </c>
      <c r="E200" s="3">
        <v>66.3</v>
      </c>
      <c r="F200" s="3">
        <v>0.7</v>
      </c>
      <c r="G200" s="2" t="str">
        <f t="shared" si="6"/>
        <v>Low</v>
      </c>
      <c r="H200" s="3" t="str">
        <f t="shared" si="7"/>
        <v>Teen</v>
      </c>
    </row>
    <row r="201" spans="1:8" x14ac:dyDescent="0.3">
      <c r="A201" s="3">
        <v>200</v>
      </c>
      <c r="B201" s="3">
        <v>16</v>
      </c>
      <c r="C201" s="3">
        <v>4.5</v>
      </c>
      <c r="D201" s="3">
        <v>1.5</v>
      </c>
      <c r="E201" s="3">
        <v>74.7</v>
      </c>
      <c r="F201" s="3">
        <v>1.6</v>
      </c>
      <c r="G201" s="2" t="str">
        <f t="shared" si="6"/>
        <v>Low</v>
      </c>
      <c r="H201" s="3" t="str">
        <f t="shared" si="7"/>
        <v>Teen</v>
      </c>
    </row>
    <row r="202" spans="1:8" x14ac:dyDescent="0.3">
      <c r="A202"/>
      <c r="B202"/>
      <c r="C202"/>
      <c r="D202"/>
      <c r="E202"/>
      <c r="F202"/>
    </row>
    <row r="203" spans="1:8" x14ac:dyDescent="0.3">
      <c r="A203"/>
      <c r="B203"/>
      <c r="C203"/>
      <c r="D203"/>
      <c r="E203"/>
      <c r="F203"/>
    </row>
    <row r="204" spans="1:8" x14ac:dyDescent="0.3">
      <c r="A204"/>
      <c r="B204"/>
      <c r="C204"/>
      <c r="D204"/>
      <c r="E204"/>
      <c r="F204"/>
    </row>
    <row r="205" spans="1:8" x14ac:dyDescent="0.3">
      <c r="A205"/>
      <c r="B205"/>
      <c r="C205"/>
      <c r="D205"/>
      <c r="E205"/>
      <c r="F205"/>
    </row>
    <row r="206" spans="1:8" x14ac:dyDescent="0.3">
      <c r="A206"/>
      <c r="B206"/>
      <c r="C206"/>
      <c r="D206"/>
      <c r="E206"/>
      <c r="F206"/>
    </row>
  </sheetData>
  <autoFilter ref="A1:H1" xr:uid="{59B35B8D-A95C-4C5C-A9DD-5E734B1D4023}"/>
  <conditionalFormatting sqref="E2:E201">
    <cfRule type="colorScale" priority="1">
      <colorScale>
        <cfvo type="min"/>
        <cfvo type="percentile" val="50"/>
        <cfvo type="max"/>
        <color rgb="FF63BE7B"/>
        <color rgb="FFFFEB84"/>
        <color rgb="FFF8696B"/>
      </colorScale>
    </cfRule>
  </conditionalFormatting>
  <conditionalFormatting sqref="G2:G201">
    <cfRule type="containsText" dxfId="70" priority="3" operator="containsText" text="High">
      <formula>NOT(ISERROR(SEARCH("High",G2)))</formula>
    </cfRule>
    <cfRule type="expression" dxfId="69" priority="4">
      <formula>"High"</formula>
    </cfRule>
  </conditionalFormatting>
  <conditionalFormatting sqref="H2:H201">
    <cfRule type="containsText" dxfId="68" priority="2" operator="containsText" text="Adult">
      <formula>NOT(ISERROR(SEARCH("Adult",H2)))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student_screen_time_raw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Kona Chinna Babu</dc:creator>
  <cp:lastModifiedBy>Kona Chinna Babu</cp:lastModifiedBy>
  <dcterms:created xsi:type="dcterms:W3CDTF">2026-03-17T17:48:50Z</dcterms:created>
  <dcterms:modified xsi:type="dcterms:W3CDTF">2026-03-17T18:26:30Z</dcterms:modified>
</cp:coreProperties>
</file>